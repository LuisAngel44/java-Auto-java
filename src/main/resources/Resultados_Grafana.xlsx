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"/>
    </mc:Choice>
  </mc:AlternateContent>
  <xr:revisionPtr revIDLastSave="0" documentId="13_ncr:1_{89841398-F004-4192-A7E0-6A6A8144CBEB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t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G1" i="2"/>
  <c r="F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" i="2"/>
</calcChain>
</file>

<file path=xl/sharedStrings.xml><?xml version="1.0" encoding="utf-8"?>
<sst xmlns="http://schemas.openxmlformats.org/spreadsheetml/2006/main" count="7589" uniqueCount="2072">
  <si>
    <t>Codigo Local</t>
  </si>
  <si>
    <t>Fecha Hora</t>
  </si>
  <si>
    <t>Descarga Max</t>
  </si>
  <si>
    <t>Descarga Min</t>
  </si>
  <si>
    <t>Descarga Avg</t>
  </si>
  <si>
    <t>Subida Max</t>
  </si>
  <si>
    <t>Subida Min</t>
  </si>
  <si>
    <t>Subida Avg</t>
  </si>
  <si>
    <t>0</t>
  </si>
  <si>
    <t>23/12 08:40</t>
  </si>
  <si>
    <t>50.11</t>
  </si>
  <si>
    <t>0.00</t>
  </si>
  <si>
    <t>0.24</t>
  </si>
  <si>
    <t>6.05</t>
  </si>
  <si>
    <t>0.02</t>
  </si>
  <si>
    <t>26.32</t>
  </si>
  <si>
    <t>0.06</t>
  </si>
  <si>
    <t>9.54</t>
  </si>
  <si>
    <t>31.20</t>
  </si>
  <si>
    <t>0.01</t>
  </si>
  <si>
    <t>1.68</t>
  </si>
  <si>
    <t>30.21</t>
  </si>
  <si>
    <t>0.27</t>
  </si>
  <si>
    <t>1.05</t>
  </si>
  <si>
    <t>75.50</t>
  </si>
  <si>
    <t>0.45</t>
  </si>
  <si>
    <t>22.89</t>
  </si>
  <si>
    <t>0.03</t>
  </si>
  <si>
    <t>137.33</t>
  </si>
  <si>
    <t>1.32</t>
  </si>
  <si>
    <t>27.41</t>
  </si>
  <si>
    <t>0.14</t>
  </si>
  <si>
    <t>23/12 08:41</t>
  </si>
  <si>
    <t>107.11</t>
  </si>
  <si>
    <t>4.79</t>
  </si>
  <si>
    <t>0.05</t>
  </si>
  <si>
    <t>25.70</t>
  </si>
  <si>
    <t>0.04</t>
  </si>
  <si>
    <t>3.83</t>
  </si>
  <si>
    <t>125.68</t>
  </si>
  <si>
    <t>0.15</t>
  </si>
  <si>
    <t>20.09</t>
  </si>
  <si>
    <t>24.18</t>
  </si>
  <si>
    <t>0.12</t>
  </si>
  <si>
    <t>1.19</t>
  </si>
  <si>
    <t>49.20</t>
  </si>
  <si>
    <t>0.09</t>
  </si>
  <si>
    <t>6.62</t>
  </si>
  <si>
    <t>41.97</t>
  </si>
  <si>
    <t>0.43</t>
  </si>
  <si>
    <t>18.41</t>
  </si>
  <si>
    <t>35.87</t>
  </si>
  <si>
    <t>8.88</t>
  </si>
  <si>
    <t>34.09</t>
  </si>
  <si>
    <t>0.13</t>
  </si>
  <si>
    <t>7.10</t>
  </si>
  <si>
    <t>61.02</t>
  </si>
  <si>
    <t>4.18</t>
  </si>
  <si>
    <t>33.43</t>
  </si>
  <si>
    <t>6.41</t>
  </si>
  <si>
    <t>23/12 08:42</t>
  </si>
  <si>
    <t>33.05</t>
  </si>
  <si>
    <t>2.26</t>
  </si>
  <si>
    <t>45.47</t>
  </si>
  <si>
    <t>0.08</t>
  </si>
  <si>
    <t>3.74</t>
  </si>
  <si>
    <t>38.92</t>
  </si>
  <si>
    <t>2.15</t>
  </si>
  <si>
    <t>26.44</t>
  </si>
  <si>
    <t>0.17</t>
  </si>
  <si>
    <t>6.21</t>
  </si>
  <si>
    <t>89.32</t>
  </si>
  <si>
    <t>1.99</t>
  </si>
  <si>
    <t>16.19</t>
  </si>
  <si>
    <t>0.07</t>
  </si>
  <si>
    <t>40.91</t>
  </si>
  <si>
    <t>7.11</t>
  </si>
  <si>
    <t>76.26</t>
  </si>
  <si>
    <t>0.35</t>
  </si>
  <si>
    <t>17.90</t>
  </si>
  <si>
    <t>48.13</t>
  </si>
  <si>
    <t>9.44</t>
  </si>
  <si>
    <t>36.51</t>
  </si>
  <si>
    <t>4.04</t>
  </si>
  <si>
    <t>81.81</t>
  </si>
  <si>
    <t>0.29</t>
  </si>
  <si>
    <t>17.83</t>
  </si>
  <si>
    <t>23/12 08:43</t>
  </si>
  <si>
    <t>53.56</t>
  </si>
  <si>
    <t>0.22</t>
  </si>
  <si>
    <t>10.67</t>
  </si>
  <si>
    <t>42.41</t>
  </si>
  <si>
    <t>14.02</t>
  </si>
  <si>
    <t>161.38</t>
  </si>
  <si>
    <t>1.95</t>
  </si>
  <si>
    <t>7.15</t>
  </si>
  <si>
    <t>93.20</t>
  </si>
  <si>
    <t>1.69</t>
  </si>
  <si>
    <t>18.70</t>
  </si>
  <si>
    <t>0.11</t>
  </si>
  <si>
    <t>20.16</t>
  </si>
  <si>
    <t>7.44</t>
  </si>
  <si>
    <t>52.62</t>
  </si>
  <si>
    <t>0.74</t>
  </si>
  <si>
    <t>7.76</t>
  </si>
  <si>
    <t>0.20</t>
  </si>
  <si>
    <t>61.28</t>
  </si>
  <si>
    <t>0.18</t>
  </si>
  <si>
    <t>3.78</t>
  </si>
  <si>
    <t>37.67</t>
  </si>
  <si>
    <t>23.11</t>
  </si>
  <si>
    <t>51.25</t>
  </si>
  <si>
    <t>6.40</t>
  </si>
  <si>
    <t>64.07</t>
  </si>
  <si>
    <t>0.31</t>
  </si>
  <si>
    <t>7.92</t>
  </si>
  <si>
    <t>23/12 08:44</t>
  </si>
  <si>
    <t>59.06</t>
  </si>
  <si>
    <t>0.32</t>
  </si>
  <si>
    <t>10.99</t>
  </si>
  <si>
    <t>102.24</t>
  </si>
  <si>
    <t>0.65</t>
  </si>
  <si>
    <t>7.32</t>
  </si>
  <si>
    <t>63.35</t>
  </si>
  <si>
    <t>5.48</t>
  </si>
  <si>
    <t>28.87</t>
  </si>
  <si>
    <t>3.48</t>
  </si>
  <si>
    <t>21.51</t>
  </si>
  <si>
    <t>4.46</t>
  </si>
  <si>
    <t>85.29</t>
  </si>
  <si>
    <t>0.10</t>
  </si>
  <si>
    <t>22.35</t>
  </si>
  <si>
    <t>46.39</t>
  </si>
  <si>
    <t>11.38</t>
  </si>
  <si>
    <t>135.90</t>
  </si>
  <si>
    <t>0.63</t>
  </si>
  <si>
    <t>7.77</t>
  </si>
  <si>
    <t>23/12 08:45</t>
  </si>
  <si>
    <t>64.80</t>
  </si>
  <si>
    <t>0.30</t>
  </si>
  <si>
    <t>12.01</t>
  </si>
  <si>
    <t>36.73</t>
  </si>
  <si>
    <t>0.40</t>
  </si>
  <si>
    <t>9.07</t>
  </si>
  <si>
    <t>25.58</t>
  </si>
  <si>
    <t>10.84</t>
  </si>
  <si>
    <t>87.92</t>
  </si>
  <si>
    <t>0.91</t>
  </si>
  <si>
    <t>13.72</t>
  </si>
  <si>
    <t>55.20</t>
  </si>
  <si>
    <t>18.29</t>
  </si>
  <si>
    <t>50.29</t>
  </si>
  <si>
    <t>0.19</t>
  </si>
  <si>
    <t>43.66</t>
  </si>
  <si>
    <t>42.17</t>
  </si>
  <si>
    <t>0.34</t>
  </si>
  <si>
    <t>20.12</t>
  </si>
  <si>
    <t>35.89</t>
  </si>
  <si>
    <t>4.72</t>
  </si>
  <si>
    <t>45.45</t>
  </si>
  <si>
    <t>9.43</t>
  </si>
  <si>
    <t>50.73</t>
  </si>
  <si>
    <t>8.81</t>
  </si>
  <si>
    <t>23/12 08:46</t>
  </si>
  <si>
    <t>26.85</t>
  </si>
  <si>
    <t>21.47</t>
  </si>
  <si>
    <t>1.26</t>
  </si>
  <si>
    <t>91.49</t>
  </si>
  <si>
    <t>38.26</t>
  </si>
  <si>
    <t>24.71</t>
  </si>
  <si>
    <t>0.36</t>
  </si>
  <si>
    <t>4.76</t>
  </si>
  <si>
    <t>6.57</t>
  </si>
  <si>
    <t>2.05</t>
  </si>
  <si>
    <t>82.51</t>
  </si>
  <si>
    <t>55.59</t>
  </si>
  <si>
    <t>2.16</t>
  </si>
  <si>
    <t>8.67</t>
  </si>
  <si>
    <t>0.21</t>
  </si>
  <si>
    <t>86.55</t>
  </si>
  <si>
    <t>8.70</t>
  </si>
  <si>
    <t>102.83</t>
  </si>
  <si>
    <t>3.22</t>
  </si>
  <si>
    <t>12.81</t>
  </si>
  <si>
    <t>67.99</t>
  </si>
  <si>
    <t>14.11</t>
  </si>
  <si>
    <t>23/12 08:47</t>
  </si>
  <si>
    <t>57.91</t>
  </si>
  <si>
    <t>7.08</t>
  </si>
  <si>
    <t>39.59</t>
  </si>
  <si>
    <t>21.28</t>
  </si>
  <si>
    <t>29.06</t>
  </si>
  <si>
    <t>2.20</t>
  </si>
  <si>
    <t>53.75</t>
  </si>
  <si>
    <t>19.58</t>
  </si>
  <si>
    <t>38.58</t>
  </si>
  <si>
    <t>2.13</t>
  </si>
  <si>
    <t>14.44</t>
  </si>
  <si>
    <t>14.36</t>
  </si>
  <si>
    <t>68.92</t>
  </si>
  <si>
    <t>1.22</t>
  </si>
  <si>
    <t>16.58</t>
  </si>
  <si>
    <t>39.78</t>
  </si>
  <si>
    <t>24.68</t>
  </si>
  <si>
    <t>46.48</t>
  </si>
  <si>
    <t>7.54</t>
  </si>
  <si>
    <t>37.93</t>
  </si>
  <si>
    <t>8.78</t>
  </si>
  <si>
    <t>23/12 08:48</t>
  </si>
  <si>
    <t>93.96</t>
  </si>
  <si>
    <t>0.72</t>
  </si>
  <si>
    <t>59.85</t>
  </si>
  <si>
    <t>22.58</t>
  </si>
  <si>
    <t>8.00</t>
  </si>
  <si>
    <t>129.98</t>
  </si>
  <si>
    <t>0.39</t>
  </si>
  <si>
    <t>31.70</t>
  </si>
  <si>
    <t>98.30</t>
  </si>
  <si>
    <t>2.14</t>
  </si>
  <si>
    <t>25.57</t>
  </si>
  <si>
    <t>72.95</t>
  </si>
  <si>
    <t>1.40</t>
  </si>
  <si>
    <t>11.52</t>
  </si>
  <si>
    <t>51.57</t>
  </si>
  <si>
    <t>19.09</t>
  </si>
  <si>
    <t>40.17</t>
  </si>
  <si>
    <t>0.62</t>
  </si>
  <si>
    <t>5.28</t>
  </si>
  <si>
    <t>41.16</t>
  </si>
  <si>
    <t>0.33</t>
  </si>
  <si>
    <t>10.23</t>
  </si>
  <si>
    <t>34.06</t>
  </si>
  <si>
    <t>6.87</t>
  </si>
  <si>
    <t>15.49</t>
  </si>
  <si>
    <t>0.66</t>
  </si>
  <si>
    <t>23/12 08:49</t>
  </si>
  <si>
    <t>59.23</t>
  </si>
  <si>
    <t>7.34</t>
  </si>
  <si>
    <t>83.77</t>
  </si>
  <si>
    <t>1.11</t>
  </si>
  <si>
    <t>23.70</t>
  </si>
  <si>
    <t>50.96</t>
  </si>
  <si>
    <t>1.53</t>
  </si>
  <si>
    <t>27.53</t>
  </si>
  <si>
    <t>32.67</t>
  </si>
  <si>
    <t>12.73</t>
  </si>
  <si>
    <t>91.15</t>
  </si>
  <si>
    <t>0.57</t>
  </si>
  <si>
    <t>27.77</t>
  </si>
  <si>
    <t>38.50</t>
  </si>
  <si>
    <t>0.23</t>
  </si>
  <si>
    <t>98.04</t>
  </si>
  <si>
    <t>97.90</t>
  </si>
  <si>
    <t>0.37</t>
  </si>
  <si>
    <t>5.65</t>
  </si>
  <si>
    <t>88.56</t>
  </si>
  <si>
    <t>0.48</t>
  </si>
  <si>
    <t>10.49</t>
  </si>
  <si>
    <t>33.37</t>
  </si>
  <si>
    <t>10.55</t>
  </si>
  <si>
    <t>23/12 08:50</t>
  </si>
  <si>
    <t>0.16</t>
  </si>
  <si>
    <t>27.98</t>
  </si>
  <si>
    <t>47.28</t>
  </si>
  <si>
    <t>6.31</t>
  </si>
  <si>
    <t>100.81</t>
  </si>
  <si>
    <t>1.29</t>
  </si>
  <si>
    <t>10.87</t>
  </si>
  <si>
    <t>45.63</t>
  </si>
  <si>
    <t>36.80</t>
  </si>
  <si>
    <t>46.95</t>
  </si>
  <si>
    <t>3.07</t>
  </si>
  <si>
    <t>44.88</t>
  </si>
  <si>
    <t>4.15</t>
  </si>
  <si>
    <t>49.65</t>
  </si>
  <si>
    <t>6.72</t>
  </si>
  <si>
    <t>15.39</t>
  </si>
  <si>
    <t>1.89</t>
  </si>
  <si>
    <t>43.24</t>
  </si>
  <si>
    <t>14.01</t>
  </si>
  <si>
    <t>38.96</t>
  </si>
  <si>
    <t>0.56</t>
  </si>
  <si>
    <t>22.59</t>
  </si>
  <si>
    <t>23/12 08:51</t>
  </si>
  <si>
    <t>55.60</t>
  </si>
  <si>
    <t>8.29</t>
  </si>
  <si>
    <t>31.01</t>
  </si>
  <si>
    <t>1.37</t>
  </si>
  <si>
    <t>166.06</t>
  </si>
  <si>
    <t>3.19</t>
  </si>
  <si>
    <t>21.20</t>
  </si>
  <si>
    <t>11.82</t>
  </si>
  <si>
    <t>143.01</t>
  </si>
  <si>
    <t>1.04</t>
  </si>
  <si>
    <t>63.44</t>
  </si>
  <si>
    <t>5.89</t>
  </si>
  <si>
    <t>79.59</t>
  </si>
  <si>
    <t>22.83</t>
  </si>
  <si>
    <t>83.09</t>
  </si>
  <si>
    <t>0.28</t>
  </si>
  <si>
    <t>4.51</t>
  </si>
  <si>
    <t>45.74</t>
  </si>
  <si>
    <t>32.18</t>
  </si>
  <si>
    <t>35.60</t>
  </si>
  <si>
    <t>1.56</t>
  </si>
  <si>
    <t>23/12 08:52</t>
  </si>
  <si>
    <t>53.26</t>
  </si>
  <si>
    <t>1.51</t>
  </si>
  <si>
    <t>27.27</t>
  </si>
  <si>
    <t>88.98</t>
  </si>
  <si>
    <t>1.67</t>
  </si>
  <si>
    <t>10.35</t>
  </si>
  <si>
    <t>32.26</t>
  </si>
  <si>
    <t>9.20</t>
  </si>
  <si>
    <t>8.37</t>
  </si>
  <si>
    <t>92.43</t>
  </si>
  <si>
    <t>0.38</t>
  </si>
  <si>
    <t>7.55</t>
  </si>
  <si>
    <t>91.09</t>
  </si>
  <si>
    <t>15.81</t>
  </si>
  <si>
    <t>45.35</t>
  </si>
  <si>
    <t>0.89</t>
  </si>
  <si>
    <t>15.32</t>
  </si>
  <si>
    <t>39.74</t>
  </si>
  <si>
    <t>8.17</t>
  </si>
  <si>
    <t>74.69</t>
  </si>
  <si>
    <t>0.92</t>
  </si>
  <si>
    <t>128.29</t>
  </si>
  <si>
    <t>3.31</t>
  </si>
  <si>
    <t>0.55</t>
  </si>
  <si>
    <t>23/12 08:53</t>
  </si>
  <si>
    <t>57.49</t>
  </si>
  <si>
    <t>8.09</t>
  </si>
  <si>
    <t>89.81</t>
  </si>
  <si>
    <t>2.07</t>
  </si>
  <si>
    <t>50.02</t>
  </si>
  <si>
    <t>0.26</t>
  </si>
  <si>
    <t>25.35</t>
  </si>
  <si>
    <t>6.00</t>
  </si>
  <si>
    <t>25.04</t>
  </si>
  <si>
    <t>9.24</t>
  </si>
  <si>
    <t>30.78</t>
  </si>
  <si>
    <t>9.01</t>
  </si>
  <si>
    <t>1.03</t>
  </si>
  <si>
    <t>14.00</t>
  </si>
  <si>
    <t>0.82</t>
  </si>
  <si>
    <t>9.05</t>
  </si>
  <si>
    <t>78.04</t>
  </si>
  <si>
    <t>1.09</t>
  </si>
  <si>
    <t>9.04</t>
  </si>
  <si>
    <t>23/12 08:54</t>
  </si>
  <si>
    <t>35.82</t>
  </si>
  <si>
    <t>26.86</t>
  </si>
  <si>
    <t>68.42</t>
  </si>
  <si>
    <t>89.85</t>
  </si>
  <si>
    <t>1.57</t>
  </si>
  <si>
    <t>22.92</t>
  </si>
  <si>
    <t>69.54</t>
  </si>
  <si>
    <t>0.73</t>
  </si>
  <si>
    <t>8.47</t>
  </si>
  <si>
    <t>27.13</t>
  </si>
  <si>
    <t>13.77</t>
  </si>
  <si>
    <t>39.99</t>
  </si>
  <si>
    <t>122.39</t>
  </si>
  <si>
    <t>2.36</t>
  </si>
  <si>
    <t>18.25</t>
  </si>
  <si>
    <t>48.48</t>
  </si>
  <si>
    <t>6.67</t>
  </si>
  <si>
    <t>32.47</t>
  </si>
  <si>
    <t>12.24</t>
  </si>
  <si>
    <t>52.66</t>
  </si>
  <si>
    <t>0.69</t>
  </si>
  <si>
    <t>3.77</t>
  </si>
  <si>
    <t>23/12 08:55</t>
  </si>
  <si>
    <t>34.42</t>
  </si>
  <si>
    <t>6.80</t>
  </si>
  <si>
    <t>46.45</t>
  </si>
  <si>
    <t>1.17</t>
  </si>
  <si>
    <t>14.32</t>
  </si>
  <si>
    <t>0.84</t>
  </si>
  <si>
    <t>91.02</t>
  </si>
  <si>
    <t>3.50</t>
  </si>
  <si>
    <t>14.66</t>
  </si>
  <si>
    <t>0.44</t>
  </si>
  <si>
    <t>19.70</t>
  </si>
  <si>
    <t>4.57</t>
  </si>
  <si>
    <t>51.16</t>
  </si>
  <si>
    <t>0.25</t>
  </si>
  <si>
    <t>8.63</t>
  </si>
  <si>
    <t>43.97</t>
  </si>
  <si>
    <t>7.86</t>
  </si>
  <si>
    <t>91.88</t>
  </si>
  <si>
    <t>7.90</t>
  </si>
  <si>
    <t>11.95</t>
  </si>
  <si>
    <t>23/12 08:56</t>
  </si>
  <si>
    <t>13.94</t>
  </si>
  <si>
    <t>81.71</t>
  </si>
  <si>
    <t>1.54</t>
  </si>
  <si>
    <t>14.76</t>
  </si>
  <si>
    <t>62.79</t>
  </si>
  <si>
    <t>5.41</t>
  </si>
  <si>
    <t>33.11</t>
  </si>
  <si>
    <t>6.61</t>
  </si>
  <si>
    <t>21.57</t>
  </si>
  <si>
    <t>2.37</t>
  </si>
  <si>
    <t>38.09</t>
  </si>
  <si>
    <t>3.98</t>
  </si>
  <si>
    <t>23/12 08:57</t>
  </si>
  <si>
    <t>40.61</t>
  </si>
  <si>
    <t>2.24</t>
  </si>
  <si>
    <t>45.86</t>
  </si>
  <si>
    <t>6.68</t>
  </si>
  <si>
    <t>27.57</t>
  </si>
  <si>
    <t>38.64</t>
  </si>
  <si>
    <t>0.58</t>
  </si>
  <si>
    <t>12.62</t>
  </si>
  <si>
    <t>42.63</t>
  </si>
  <si>
    <t>11.63</t>
  </si>
  <si>
    <t>39.39</t>
  </si>
  <si>
    <t>0.64</t>
  </si>
  <si>
    <t>16.64</t>
  </si>
  <si>
    <t>26.43</t>
  </si>
  <si>
    <t>1.13</t>
  </si>
  <si>
    <t>67.87</t>
  </si>
  <si>
    <t>26.61</t>
  </si>
  <si>
    <t>34.36</t>
  </si>
  <si>
    <t>13.50</t>
  </si>
  <si>
    <t>23/12 08:58</t>
  </si>
  <si>
    <t>29.85</t>
  </si>
  <si>
    <t>9.51</t>
  </si>
  <si>
    <t>81.77</t>
  </si>
  <si>
    <t>21.49</t>
  </si>
  <si>
    <t>120.88</t>
  </si>
  <si>
    <t>23.84</t>
  </si>
  <si>
    <t>12.53</t>
  </si>
  <si>
    <t>39.64</t>
  </si>
  <si>
    <t>0.51</t>
  </si>
  <si>
    <t>2.01</t>
  </si>
  <si>
    <t>80.22</t>
  </si>
  <si>
    <t>3.89</t>
  </si>
  <si>
    <t>29.70</t>
  </si>
  <si>
    <t>17.97</t>
  </si>
  <si>
    <t>39.81</t>
  </si>
  <si>
    <t>1.65</t>
  </si>
  <si>
    <t>47.84</t>
  </si>
  <si>
    <t>16.53</t>
  </si>
  <si>
    <t>89.42</t>
  </si>
  <si>
    <t>47.66</t>
  </si>
  <si>
    <t>23/12 08:59</t>
  </si>
  <si>
    <t>13.16</t>
  </si>
  <si>
    <t>4.39</t>
  </si>
  <si>
    <t>51.36</t>
  </si>
  <si>
    <t>8.32</t>
  </si>
  <si>
    <t>59.50</t>
  </si>
  <si>
    <t>9.37</t>
  </si>
  <si>
    <t>88.81</t>
  </si>
  <si>
    <t>33.97</t>
  </si>
  <si>
    <t>35.55</t>
  </si>
  <si>
    <t>8.42</t>
  </si>
  <si>
    <t>67.90</t>
  </si>
  <si>
    <t>5.73</t>
  </si>
  <si>
    <t>70.26</t>
  </si>
  <si>
    <t>26.70</t>
  </si>
  <si>
    <t>49.60</t>
  </si>
  <si>
    <t>2.19</t>
  </si>
  <si>
    <t>26.73</t>
  </si>
  <si>
    <t>3.58</t>
  </si>
  <si>
    <t>23/12 09:00</t>
  </si>
  <si>
    <t>29.80</t>
  </si>
  <si>
    <t>112.31</t>
  </si>
  <si>
    <t>2.02</t>
  </si>
  <si>
    <t>57.29</t>
  </si>
  <si>
    <t>0.41</t>
  </si>
  <si>
    <t>26.09</t>
  </si>
  <si>
    <t>241.57</t>
  </si>
  <si>
    <t>60.01</t>
  </si>
  <si>
    <t>27.19</t>
  </si>
  <si>
    <t>7.84</t>
  </si>
  <si>
    <t>12.48</t>
  </si>
  <si>
    <t>1.71</t>
  </si>
  <si>
    <t>21.32</t>
  </si>
  <si>
    <t>7.05</t>
  </si>
  <si>
    <t>47.53</t>
  </si>
  <si>
    <t>32.51</t>
  </si>
  <si>
    <t>64.66</t>
  </si>
  <si>
    <t>12.74</t>
  </si>
  <si>
    <t>23/12 09:01</t>
  </si>
  <si>
    <t>90.14</t>
  </si>
  <si>
    <t>1.18</t>
  </si>
  <si>
    <t>113.34</t>
  </si>
  <si>
    <t>0.46</t>
  </si>
  <si>
    <t>6.17</t>
  </si>
  <si>
    <t>39.67</t>
  </si>
  <si>
    <t>12.42</t>
  </si>
  <si>
    <t>23.00</t>
  </si>
  <si>
    <t>0.88</t>
  </si>
  <si>
    <t>94.06</t>
  </si>
  <si>
    <t>1.31</t>
  </si>
  <si>
    <t>35.17</t>
  </si>
  <si>
    <t>136.92</t>
  </si>
  <si>
    <t>4.03</t>
  </si>
  <si>
    <t>36.50</t>
  </si>
  <si>
    <t>83.98</t>
  </si>
  <si>
    <t>17.92</t>
  </si>
  <si>
    <t>90.68</t>
  </si>
  <si>
    <t>7.28</t>
  </si>
  <si>
    <t>68.95</t>
  </si>
  <si>
    <t>11.13</t>
  </si>
  <si>
    <t>45.04</t>
  </si>
  <si>
    <t>23/12 09:02</t>
  </si>
  <si>
    <t>42.03</t>
  </si>
  <si>
    <t>18.03</t>
  </si>
  <si>
    <t>15.57</t>
  </si>
  <si>
    <t>1.12</t>
  </si>
  <si>
    <t>55.26</t>
  </si>
  <si>
    <t>79.75</t>
  </si>
  <si>
    <t>5.19</t>
  </si>
  <si>
    <t>50.01</t>
  </si>
  <si>
    <t>6.34</t>
  </si>
  <si>
    <t>47.58</t>
  </si>
  <si>
    <t>1.97</t>
  </si>
  <si>
    <t>54.71</t>
  </si>
  <si>
    <t>1.41</t>
  </si>
  <si>
    <t>16.94</t>
  </si>
  <si>
    <t>88.61</t>
  </si>
  <si>
    <t>0.70</t>
  </si>
  <si>
    <t>26.31</t>
  </si>
  <si>
    <t>33.99</t>
  </si>
  <si>
    <t>80.67</t>
  </si>
  <si>
    <t>85.93</t>
  </si>
  <si>
    <t>0.60</t>
  </si>
  <si>
    <t>17.62</t>
  </si>
  <si>
    <t>23/12 09:03</t>
  </si>
  <si>
    <t>111.49</t>
  </si>
  <si>
    <t>1.88</t>
  </si>
  <si>
    <t>5.37</t>
  </si>
  <si>
    <t>65.44</t>
  </si>
  <si>
    <t>14.45</t>
  </si>
  <si>
    <t>31.67</t>
  </si>
  <si>
    <t>3.66</t>
  </si>
  <si>
    <t>42.40</t>
  </si>
  <si>
    <t>9.45</t>
  </si>
  <si>
    <t>14.95</t>
  </si>
  <si>
    <t>2.40</t>
  </si>
  <si>
    <t>49.22</t>
  </si>
  <si>
    <t>17.95</t>
  </si>
  <si>
    <t>33.56</t>
  </si>
  <si>
    <t>5.69</t>
  </si>
  <si>
    <t>80.07</t>
  </si>
  <si>
    <t>22.04</t>
  </si>
  <si>
    <t>23/12 09:04</t>
  </si>
  <si>
    <t>66.49</t>
  </si>
  <si>
    <t>8.62</t>
  </si>
  <si>
    <t>35.48</t>
  </si>
  <si>
    <t>9.91</t>
  </si>
  <si>
    <t>19.16</t>
  </si>
  <si>
    <t>3.97</t>
  </si>
  <si>
    <t>143.82</t>
  </si>
  <si>
    <t>3.84</t>
  </si>
  <si>
    <t>25.07</t>
  </si>
  <si>
    <t>83.46</t>
  </si>
  <si>
    <t>13.58</t>
  </si>
  <si>
    <t>50.18</t>
  </si>
  <si>
    <t>19.49</t>
  </si>
  <si>
    <t>25.71</t>
  </si>
  <si>
    <t>71.46</t>
  </si>
  <si>
    <t>4.65</t>
  </si>
  <si>
    <t>43.46</t>
  </si>
  <si>
    <t>0.53</t>
  </si>
  <si>
    <t>10.43</t>
  </si>
  <si>
    <t>90.34</t>
  </si>
  <si>
    <t>4.91</t>
  </si>
  <si>
    <t>23/12 09:05</t>
  </si>
  <si>
    <t>58.22</t>
  </si>
  <si>
    <t>10.01</t>
  </si>
  <si>
    <t>33.84</t>
  </si>
  <si>
    <t>42.38</t>
  </si>
  <si>
    <t>52.02</t>
  </si>
  <si>
    <t>1.87</t>
  </si>
  <si>
    <t>16.00</t>
  </si>
  <si>
    <t>46.05</t>
  </si>
  <si>
    <t>7.56</t>
  </si>
  <si>
    <t>50.49</t>
  </si>
  <si>
    <t>2.64</t>
  </si>
  <si>
    <t>137.53</t>
  </si>
  <si>
    <t>12.36</t>
  </si>
  <si>
    <t>92.10</t>
  </si>
  <si>
    <t>1.62</t>
  </si>
  <si>
    <t>44.12</t>
  </si>
  <si>
    <t>2.28</t>
  </si>
  <si>
    <t>46.54</t>
  </si>
  <si>
    <t>17.68</t>
  </si>
  <si>
    <t>39.88</t>
  </si>
  <si>
    <t>8.61</t>
  </si>
  <si>
    <t>92.44</t>
  </si>
  <si>
    <t>29.33</t>
  </si>
  <si>
    <t>23/12 09:06</t>
  </si>
  <si>
    <t>53.04</t>
  </si>
  <si>
    <t>0.75</t>
  </si>
  <si>
    <t>9.55</t>
  </si>
  <si>
    <t>4.05</t>
  </si>
  <si>
    <t>3.46</t>
  </si>
  <si>
    <t>20.36</t>
  </si>
  <si>
    <t>2.86</t>
  </si>
  <si>
    <t>69.06</t>
  </si>
  <si>
    <t>2.56</t>
  </si>
  <si>
    <t>40.62</t>
  </si>
  <si>
    <t>4.95</t>
  </si>
  <si>
    <t>72.43</t>
  </si>
  <si>
    <t>26.49</t>
  </si>
  <si>
    <t>29.83</t>
  </si>
  <si>
    <t>6.49</t>
  </si>
  <si>
    <t>54.48</t>
  </si>
  <si>
    <t>23/12 09:07</t>
  </si>
  <si>
    <t>58.14</t>
  </si>
  <si>
    <t>5.47</t>
  </si>
  <si>
    <t>18.19</t>
  </si>
  <si>
    <t>6.54</t>
  </si>
  <si>
    <t>52.38</t>
  </si>
  <si>
    <t>1.45</t>
  </si>
  <si>
    <t>25.05</t>
  </si>
  <si>
    <t>140.54</t>
  </si>
  <si>
    <t>6.60</t>
  </si>
  <si>
    <t>55.42</t>
  </si>
  <si>
    <t>9.18</t>
  </si>
  <si>
    <t>106.12</t>
  </si>
  <si>
    <t>0.67</t>
  </si>
  <si>
    <t>22.45</t>
  </si>
  <si>
    <t>66.69</t>
  </si>
  <si>
    <t>36.53</t>
  </si>
  <si>
    <t>46.69</t>
  </si>
  <si>
    <t>18.43</t>
  </si>
  <si>
    <t>3.81</t>
  </si>
  <si>
    <t>29.32</t>
  </si>
  <si>
    <t>0.47</t>
  </si>
  <si>
    <t>18.80</t>
  </si>
  <si>
    <t>23/12 09:08</t>
  </si>
  <si>
    <t>54.19</t>
  </si>
  <si>
    <t>7.39</t>
  </si>
  <si>
    <t>148.44</t>
  </si>
  <si>
    <t>2.96</t>
  </si>
  <si>
    <t>17.38</t>
  </si>
  <si>
    <t>91.40</t>
  </si>
  <si>
    <t>0.54</t>
  </si>
  <si>
    <t>44.50</t>
  </si>
  <si>
    <t>42.92</t>
  </si>
  <si>
    <t>31.33</t>
  </si>
  <si>
    <t>18.66</t>
  </si>
  <si>
    <t>74.97</t>
  </si>
  <si>
    <t>1.39</t>
  </si>
  <si>
    <t>80.56</t>
  </si>
  <si>
    <t>46.37</t>
  </si>
  <si>
    <t>11.68</t>
  </si>
  <si>
    <t>40.07</t>
  </si>
  <si>
    <t>10.45</t>
  </si>
  <si>
    <t>23/12 09:09</t>
  </si>
  <si>
    <t>33.32</t>
  </si>
  <si>
    <t>8.75</t>
  </si>
  <si>
    <t>92.37</t>
  </si>
  <si>
    <t>0.68</t>
  </si>
  <si>
    <t>13.49</t>
  </si>
  <si>
    <t>0.81</t>
  </si>
  <si>
    <t>33.79</t>
  </si>
  <si>
    <t>7.88</t>
  </si>
  <si>
    <t>139.15</t>
  </si>
  <si>
    <t>7.70</t>
  </si>
  <si>
    <t>11.47</t>
  </si>
  <si>
    <t>38.79</t>
  </si>
  <si>
    <t>11.08</t>
  </si>
  <si>
    <t>70.69</t>
  </si>
  <si>
    <t>5.40</t>
  </si>
  <si>
    <t>63.58</t>
  </si>
  <si>
    <t>0.80</t>
  </si>
  <si>
    <t>19.18</t>
  </si>
  <si>
    <t>76.60</t>
  </si>
  <si>
    <t>1.36</t>
  </si>
  <si>
    <t>8.14</t>
  </si>
  <si>
    <t>126.21</t>
  </si>
  <si>
    <t>0.76</t>
  </si>
  <si>
    <t>11.75</t>
  </si>
  <si>
    <t>23/12 09:10</t>
  </si>
  <si>
    <t>93.23</t>
  </si>
  <si>
    <t>5.30</t>
  </si>
  <si>
    <t>52.76</t>
  </si>
  <si>
    <t>5.45</t>
  </si>
  <si>
    <t>38.15</t>
  </si>
  <si>
    <t>1.27</t>
  </si>
  <si>
    <t>69.53</t>
  </si>
  <si>
    <t>36.62</t>
  </si>
  <si>
    <t>17.13</t>
  </si>
  <si>
    <t>9.40</t>
  </si>
  <si>
    <t>44.60</t>
  </si>
  <si>
    <t>77.88</t>
  </si>
  <si>
    <t>54.66</t>
  </si>
  <si>
    <t>32.44</t>
  </si>
  <si>
    <t>5.55</t>
  </si>
  <si>
    <t>23/12 09:11</t>
  </si>
  <si>
    <t>91.83</t>
  </si>
  <si>
    <t>1.07</t>
  </si>
  <si>
    <t>16.99</t>
  </si>
  <si>
    <t>52.86</t>
  </si>
  <si>
    <t>65.41</t>
  </si>
  <si>
    <t>19.46</t>
  </si>
  <si>
    <t>5.13</t>
  </si>
  <si>
    <t>50.65</t>
  </si>
  <si>
    <t>8.77</t>
  </si>
  <si>
    <t>40.85</t>
  </si>
  <si>
    <t>4.13</t>
  </si>
  <si>
    <t>53.02</t>
  </si>
  <si>
    <t>134.05</t>
  </si>
  <si>
    <t>24.01</t>
  </si>
  <si>
    <t>68.25</t>
  </si>
  <si>
    <t>68.04</t>
  </si>
  <si>
    <t>8.85</t>
  </si>
  <si>
    <t>23/12 09:12</t>
  </si>
  <si>
    <t>94.49</t>
  </si>
  <si>
    <t>25.54</t>
  </si>
  <si>
    <t>13.60</t>
  </si>
  <si>
    <t>37.02</t>
  </si>
  <si>
    <t>18.73</t>
  </si>
  <si>
    <t>32.82</t>
  </si>
  <si>
    <t>8.84</t>
  </si>
  <si>
    <t>84.37</t>
  </si>
  <si>
    <t>7.24</t>
  </si>
  <si>
    <t>39.68</t>
  </si>
  <si>
    <t>4.77</t>
  </si>
  <si>
    <t>136.74</t>
  </si>
  <si>
    <t>1.50</t>
  </si>
  <si>
    <t>43.34</t>
  </si>
  <si>
    <t>32.64</t>
  </si>
  <si>
    <t>1.25</t>
  </si>
  <si>
    <t>36.23</t>
  </si>
  <si>
    <t>23/12 09:13</t>
  </si>
  <si>
    <t>74.74</t>
  </si>
  <si>
    <t>7.75</t>
  </si>
  <si>
    <t>86.62</t>
  </si>
  <si>
    <t>3.71</t>
  </si>
  <si>
    <t>137.08</t>
  </si>
  <si>
    <t>6.24</t>
  </si>
  <si>
    <t>17.87</t>
  </si>
  <si>
    <t>13.65</t>
  </si>
  <si>
    <t>141.40</t>
  </si>
  <si>
    <t>1.81</t>
  </si>
  <si>
    <t>85.62</t>
  </si>
  <si>
    <t>48.35</t>
  </si>
  <si>
    <t>5.43</t>
  </si>
  <si>
    <t>86.96</t>
  </si>
  <si>
    <t>7.96</t>
  </si>
  <si>
    <t>49.88</t>
  </si>
  <si>
    <t>5.26</t>
  </si>
  <si>
    <t>13.46</t>
  </si>
  <si>
    <t>82.22</t>
  </si>
  <si>
    <t>34.55</t>
  </si>
  <si>
    <t>23/12 09:14</t>
  </si>
  <si>
    <t>52.75</t>
  </si>
  <si>
    <t>5.14</t>
  </si>
  <si>
    <t>33.94</t>
  </si>
  <si>
    <t>11.10</t>
  </si>
  <si>
    <t>8.30</t>
  </si>
  <si>
    <t>69.48</t>
  </si>
  <si>
    <t>1.00</t>
  </si>
  <si>
    <t>20.29</t>
  </si>
  <si>
    <t>61.04</t>
  </si>
  <si>
    <t>56.77</t>
  </si>
  <si>
    <t>6.12</t>
  </si>
  <si>
    <t>68.64</t>
  </si>
  <si>
    <t>12.88</t>
  </si>
  <si>
    <t>23/12 09:15</t>
  </si>
  <si>
    <t>131.05</t>
  </si>
  <si>
    <t>0.83</t>
  </si>
  <si>
    <t>8.72</t>
  </si>
  <si>
    <t>36.79</t>
  </si>
  <si>
    <t>7.49</t>
  </si>
  <si>
    <t>49.52</t>
  </si>
  <si>
    <t>38.94</t>
  </si>
  <si>
    <t>0.90</t>
  </si>
  <si>
    <t>0.99</t>
  </si>
  <si>
    <t>51.99</t>
  </si>
  <si>
    <t>6.32</t>
  </si>
  <si>
    <t>43.01</t>
  </si>
  <si>
    <t>27.59</t>
  </si>
  <si>
    <t>15.41</t>
  </si>
  <si>
    <t>4.35</t>
  </si>
  <si>
    <t>28.69</t>
  </si>
  <si>
    <t>29.75</t>
  </si>
  <si>
    <t>50.33</t>
  </si>
  <si>
    <t>15.08</t>
  </si>
  <si>
    <t>23/12 09:16</t>
  </si>
  <si>
    <t>41.41</t>
  </si>
  <si>
    <t>7.43</t>
  </si>
  <si>
    <t>52.43</t>
  </si>
  <si>
    <t>5.99</t>
  </si>
  <si>
    <t>48.27</t>
  </si>
  <si>
    <t>9.58</t>
  </si>
  <si>
    <t>52.81</t>
  </si>
  <si>
    <t>23.20</t>
  </si>
  <si>
    <t>43.62</t>
  </si>
  <si>
    <t>3.28</t>
  </si>
  <si>
    <t>4.21</t>
  </si>
  <si>
    <t>125.19</t>
  </si>
  <si>
    <t>13.20</t>
  </si>
  <si>
    <t>23.41</t>
  </si>
  <si>
    <t>1.77</t>
  </si>
  <si>
    <t>98.19</t>
  </si>
  <si>
    <t>1.64</t>
  </si>
  <si>
    <t>33.12</t>
  </si>
  <si>
    <t>38.49</t>
  </si>
  <si>
    <t>13.23</t>
  </si>
  <si>
    <t>23/12 09:17</t>
  </si>
  <si>
    <t>53.76</t>
  </si>
  <si>
    <t>2.00</t>
  </si>
  <si>
    <t>19.85</t>
  </si>
  <si>
    <t>10.93</t>
  </si>
  <si>
    <t>22.90</t>
  </si>
  <si>
    <t>21.94</t>
  </si>
  <si>
    <t>52.22</t>
  </si>
  <si>
    <t>13.41</t>
  </si>
  <si>
    <t>51.10</t>
  </si>
  <si>
    <t>44.20</t>
  </si>
  <si>
    <t>4.62</t>
  </si>
  <si>
    <t>48.85</t>
  </si>
  <si>
    <t>23.78</t>
  </si>
  <si>
    <t>52.40</t>
  </si>
  <si>
    <t>9.06</t>
  </si>
  <si>
    <t>109.09</t>
  </si>
  <si>
    <t>1.21</t>
  </si>
  <si>
    <t>28.16</t>
  </si>
  <si>
    <t>23/12 09:18</t>
  </si>
  <si>
    <t>77.78</t>
  </si>
  <si>
    <t>3.45</t>
  </si>
  <si>
    <t>67.58</t>
  </si>
  <si>
    <t>2.53</t>
  </si>
  <si>
    <t>13.62</t>
  </si>
  <si>
    <t>81.61</t>
  </si>
  <si>
    <t>0.61</t>
  </si>
  <si>
    <t>10.28</t>
  </si>
  <si>
    <t>92.42</t>
  </si>
  <si>
    <t>0.95</t>
  </si>
  <si>
    <t>27.16</t>
  </si>
  <si>
    <t>50.51</t>
  </si>
  <si>
    <t>38.27</t>
  </si>
  <si>
    <t>65.40</t>
  </si>
  <si>
    <t>8.92</t>
  </si>
  <si>
    <t>23.51</t>
  </si>
  <si>
    <t>25.13</t>
  </si>
  <si>
    <t>7.14</t>
  </si>
  <si>
    <t>69.19</t>
  </si>
  <si>
    <t>5.62</t>
  </si>
  <si>
    <t>23/12 09:19</t>
  </si>
  <si>
    <t>32.31</t>
  </si>
  <si>
    <t>3.10</t>
  </si>
  <si>
    <t>91.23</t>
  </si>
  <si>
    <t>2.12</t>
  </si>
  <si>
    <t>12.96</t>
  </si>
  <si>
    <t>59.46</t>
  </si>
  <si>
    <t>4.44</t>
  </si>
  <si>
    <t>91.64</t>
  </si>
  <si>
    <t>56.66</t>
  </si>
  <si>
    <t>33.64</t>
  </si>
  <si>
    <t>24.81</t>
  </si>
  <si>
    <t>23/12 09:20</t>
  </si>
  <si>
    <t>52.69</t>
  </si>
  <si>
    <t>69.13</t>
  </si>
  <si>
    <t>50.31</t>
  </si>
  <si>
    <t>15.86</t>
  </si>
  <si>
    <t>27.06</t>
  </si>
  <si>
    <t>38.08</t>
  </si>
  <si>
    <t>5.90</t>
  </si>
  <si>
    <t>28.72</t>
  </si>
  <si>
    <t>48.17</t>
  </si>
  <si>
    <t>10.62</t>
  </si>
  <si>
    <t>79.06</t>
  </si>
  <si>
    <t>0.78</t>
  </si>
  <si>
    <t>10.37</t>
  </si>
  <si>
    <t>53.84</t>
  </si>
  <si>
    <t>47.02</t>
  </si>
  <si>
    <t>55.82</t>
  </si>
  <si>
    <t>23/12 09:21</t>
  </si>
  <si>
    <t>87.21</t>
  </si>
  <si>
    <t>10.11</t>
  </si>
  <si>
    <t>63.74</t>
  </si>
  <si>
    <t>3.63</t>
  </si>
  <si>
    <t>24.96</t>
  </si>
  <si>
    <t>7.37</t>
  </si>
  <si>
    <t>39.94</t>
  </si>
  <si>
    <t>1.42</t>
  </si>
  <si>
    <t>91.48</t>
  </si>
  <si>
    <t>27.55</t>
  </si>
  <si>
    <t>78.43</t>
  </si>
  <si>
    <t>7.61</t>
  </si>
  <si>
    <t>30.13</t>
  </si>
  <si>
    <t>10.75</t>
  </si>
  <si>
    <t>31.29</t>
  </si>
  <si>
    <t>5.97</t>
  </si>
  <si>
    <t>47.30</t>
  </si>
  <si>
    <t>50.90</t>
  </si>
  <si>
    <t>23/12 09:22</t>
  </si>
  <si>
    <t>77.08</t>
  </si>
  <si>
    <t>10.89</t>
  </si>
  <si>
    <t>94.74</t>
  </si>
  <si>
    <t>0.50</t>
  </si>
  <si>
    <t>6.01</t>
  </si>
  <si>
    <t>68.94</t>
  </si>
  <si>
    <t>0.71</t>
  </si>
  <si>
    <t>28.31</t>
  </si>
  <si>
    <t>20.60</t>
  </si>
  <si>
    <t>0.86</t>
  </si>
  <si>
    <t>45.00</t>
  </si>
  <si>
    <t>16.07</t>
  </si>
  <si>
    <t>51.11</t>
  </si>
  <si>
    <t>10.38</t>
  </si>
  <si>
    <t>17.89</t>
  </si>
  <si>
    <t>7.98</t>
  </si>
  <si>
    <t>40.01</t>
  </si>
  <si>
    <t>41.52</t>
  </si>
  <si>
    <t>3.14</t>
  </si>
  <si>
    <t>54.29</t>
  </si>
  <si>
    <t>4.66</t>
  </si>
  <si>
    <t>23/12 09:23</t>
  </si>
  <si>
    <t>33.90</t>
  </si>
  <si>
    <t>8.96</t>
  </si>
  <si>
    <t>91.51</t>
  </si>
  <si>
    <t>8.79</t>
  </si>
  <si>
    <t>47.17</t>
  </si>
  <si>
    <t>3.59</t>
  </si>
  <si>
    <t>39.01</t>
  </si>
  <si>
    <t>0.42</t>
  </si>
  <si>
    <t>10.42</t>
  </si>
  <si>
    <t>90.91</t>
  </si>
  <si>
    <t>29.53</t>
  </si>
  <si>
    <t>185.66</t>
  </si>
  <si>
    <t>41.94</t>
  </si>
  <si>
    <t>53.87</t>
  </si>
  <si>
    <t>15.29</t>
  </si>
  <si>
    <t>2.62</t>
  </si>
  <si>
    <t>44.48</t>
  </si>
  <si>
    <t>26.68</t>
  </si>
  <si>
    <t>26.34</t>
  </si>
  <si>
    <t>1.28</t>
  </si>
  <si>
    <t>23/12 09:24</t>
  </si>
  <si>
    <t>52.35</t>
  </si>
  <si>
    <t>13.69</t>
  </si>
  <si>
    <t>51.68</t>
  </si>
  <si>
    <t>42.28</t>
  </si>
  <si>
    <t>103.30</t>
  </si>
  <si>
    <t>13.74</t>
  </si>
  <si>
    <t>100.54</t>
  </si>
  <si>
    <t>0.94</t>
  </si>
  <si>
    <t>31.07</t>
  </si>
  <si>
    <t>28.15</t>
  </si>
  <si>
    <t>2.25</t>
  </si>
  <si>
    <t>48.49</t>
  </si>
  <si>
    <t>8.13</t>
  </si>
  <si>
    <t>47.13</t>
  </si>
  <si>
    <t>17.23</t>
  </si>
  <si>
    <t>73.68</t>
  </si>
  <si>
    <t>62.42</t>
  </si>
  <si>
    <t>2.85</t>
  </si>
  <si>
    <t>23/12 09:25</t>
  </si>
  <si>
    <t>87.03</t>
  </si>
  <si>
    <t>32.14</t>
  </si>
  <si>
    <t>85.74</t>
  </si>
  <si>
    <t>9.36</t>
  </si>
  <si>
    <t>39.79</t>
  </si>
  <si>
    <t>11.30</t>
  </si>
  <si>
    <t>74.83</t>
  </si>
  <si>
    <t>7.73</t>
  </si>
  <si>
    <t>108.76</t>
  </si>
  <si>
    <t>1.73</t>
  </si>
  <si>
    <t>2.46</t>
  </si>
  <si>
    <t>58.26</t>
  </si>
  <si>
    <t>4.60</t>
  </si>
  <si>
    <t>54.55</t>
  </si>
  <si>
    <t>5.01</t>
  </si>
  <si>
    <t>35.30</t>
  </si>
  <si>
    <t>6.50</t>
  </si>
  <si>
    <t>56.53</t>
  </si>
  <si>
    <t>25.03</t>
  </si>
  <si>
    <t>2.42</t>
  </si>
  <si>
    <t>23/12 09:26</t>
  </si>
  <si>
    <t>57.52</t>
  </si>
  <si>
    <t>44.25</t>
  </si>
  <si>
    <t>44.83</t>
  </si>
  <si>
    <t>9.98</t>
  </si>
  <si>
    <t>474.73</t>
  </si>
  <si>
    <t>17.65</t>
  </si>
  <si>
    <t>8.59</t>
  </si>
  <si>
    <t>92.14</t>
  </si>
  <si>
    <t>54.17</t>
  </si>
  <si>
    <t>28.05</t>
  </si>
  <si>
    <t>19.66</t>
  </si>
  <si>
    <t>0.85</t>
  </si>
  <si>
    <t>40.70</t>
  </si>
  <si>
    <t>15.62</t>
  </si>
  <si>
    <t>59.62</t>
  </si>
  <si>
    <t>8.51</t>
  </si>
  <si>
    <t>97.51</t>
  </si>
  <si>
    <t>22.63</t>
  </si>
  <si>
    <t>23/12 09:27</t>
  </si>
  <si>
    <t>95.89</t>
  </si>
  <si>
    <t>8.53</t>
  </si>
  <si>
    <t>74.71</t>
  </si>
  <si>
    <t>90.94</t>
  </si>
  <si>
    <t>8.86</t>
  </si>
  <si>
    <t>128.56</t>
  </si>
  <si>
    <t>35.84</t>
  </si>
  <si>
    <t>91.95</t>
  </si>
  <si>
    <t>5.87</t>
  </si>
  <si>
    <t>52.97</t>
  </si>
  <si>
    <t>8.12</t>
  </si>
  <si>
    <t>47.68</t>
  </si>
  <si>
    <t>12.85</t>
  </si>
  <si>
    <t>24.29</t>
  </si>
  <si>
    <t>6.82</t>
  </si>
  <si>
    <t>65.22</t>
  </si>
  <si>
    <t>31.92</t>
  </si>
  <si>
    <t>23/12 09:28</t>
  </si>
  <si>
    <t>30.29</t>
  </si>
  <si>
    <t>24.32</t>
  </si>
  <si>
    <t>11.66</t>
  </si>
  <si>
    <t>44.42</t>
  </si>
  <si>
    <t>75.06</t>
  </si>
  <si>
    <t>3.85</t>
  </si>
  <si>
    <t>54.04</t>
  </si>
  <si>
    <t>4.82</t>
  </si>
  <si>
    <t>68.52</t>
  </si>
  <si>
    <t>85.30</t>
  </si>
  <si>
    <t>22.65</t>
  </si>
  <si>
    <t>62.88</t>
  </si>
  <si>
    <t>24.11</t>
  </si>
  <si>
    <t>7.72</t>
  </si>
  <si>
    <t>36.86</t>
  </si>
  <si>
    <t>3.05</t>
  </si>
  <si>
    <t>23/12 09:29</t>
  </si>
  <si>
    <t>63.16</t>
  </si>
  <si>
    <t>66.65</t>
  </si>
  <si>
    <t>7.57</t>
  </si>
  <si>
    <t>71.09</t>
  </si>
  <si>
    <t>1.24</t>
  </si>
  <si>
    <t>17.74</t>
  </si>
  <si>
    <t>72.66</t>
  </si>
  <si>
    <t>28.63</t>
  </si>
  <si>
    <t>5.04</t>
  </si>
  <si>
    <t>103.55</t>
  </si>
  <si>
    <t>9.93</t>
  </si>
  <si>
    <t>22.22</t>
  </si>
  <si>
    <t>17.03</t>
  </si>
  <si>
    <t>4.74</t>
  </si>
  <si>
    <t>126.72</t>
  </si>
  <si>
    <t>16.49</t>
  </si>
  <si>
    <t>23/12 09:30</t>
  </si>
  <si>
    <t>53.83</t>
  </si>
  <si>
    <t>3.56</t>
  </si>
  <si>
    <t>9.79</t>
  </si>
  <si>
    <t>50.85</t>
  </si>
  <si>
    <t>12.19</t>
  </si>
  <si>
    <t>95.46</t>
  </si>
  <si>
    <t>19.68</t>
  </si>
  <si>
    <t>23/12 09:31</t>
  </si>
  <si>
    <t>83.96</t>
  </si>
  <si>
    <t>3.18</t>
  </si>
  <si>
    <t>59.34</t>
  </si>
  <si>
    <t>10.72</t>
  </si>
  <si>
    <t>22.38</t>
  </si>
  <si>
    <t>50.87</t>
  </si>
  <si>
    <t>11.27</t>
  </si>
  <si>
    <t>40.23</t>
  </si>
  <si>
    <t>16.65</t>
  </si>
  <si>
    <t>60.73</t>
  </si>
  <si>
    <t>29.48</t>
  </si>
  <si>
    <t>30.07</t>
  </si>
  <si>
    <t>8.04</t>
  </si>
  <si>
    <t>23/12 09:32</t>
  </si>
  <si>
    <t>52.84</t>
  </si>
  <si>
    <t>2.93</t>
  </si>
  <si>
    <t>143.39</t>
  </si>
  <si>
    <t>0.52</t>
  </si>
  <si>
    <t>13.34</t>
  </si>
  <si>
    <t>9.56</t>
  </si>
  <si>
    <t>2.98</t>
  </si>
  <si>
    <t>97.59</t>
  </si>
  <si>
    <t>26.92</t>
  </si>
  <si>
    <t>41.70</t>
  </si>
  <si>
    <t>18.22</t>
  </si>
  <si>
    <t>29.93</t>
  </si>
  <si>
    <t>80.00</t>
  </si>
  <si>
    <t>24.51</t>
  </si>
  <si>
    <t>31.79</t>
  </si>
  <si>
    <t>58.60</t>
  </si>
  <si>
    <t>25.84</t>
  </si>
  <si>
    <t>93.35</t>
  </si>
  <si>
    <t>1.06</t>
  </si>
  <si>
    <t>12.78</t>
  </si>
  <si>
    <t>23/12 09:33</t>
  </si>
  <si>
    <t>58.28</t>
  </si>
  <si>
    <t>20.78</t>
  </si>
  <si>
    <t>19.47</t>
  </si>
  <si>
    <t>4.08</t>
  </si>
  <si>
    <t>90.85</t>
  </si>
  <si>
    <t>3.00</t>
  </si>
  <si>
    <t>33.81</t>
  </si>
  <si>
    <t>14.87</t>
  </si>
  <si>
    <t>80.95</t>
  </si>
  <si>
    <t>37.42</t>
  </si>
  <si>
    <t>50.14</t>
  </si>
  <si>
    <t>15.02</t>
  </si>
  <si>
    <t>91.12</t>
  </si>
  <si>
    <t>24.19</t>
  </si>
  <si>
    <t>30.67</t>
  </si>
  <si>
    <t>11.87</t>
  </si>
  <si>
    <t>96.63</t>
  </si>
  <si>
    <t>4.99</t>
  </si>
  <si>
    <t>30.36</t>
  </si>
  <si>
    <t>23/12 09:34</t>
  </si>
  <si>
    <t>88.41</t>
  </si>
  <si>
    <t>10.79</t>
  </si>
  <si>
    <t>43.58</t>
  </si>
  <si>
    <t>22.16</t>
  </si>
  <si>
    <t>82.24</t>
  </si>
  <si>
    <t>10.08</t>
  </si>
  <si>
    <t>29.01</t>
  </si>
  <si>
    <t>16.35</t>
  </si>
  <si>
    <t>9.49</t>
  </si>
  <si>
    <t>4.81</t>
  </si>
  <si>
    <t>92.75</t>
  </si>
  <si>
    <t>24.57</t>
  </si>
  <si>
    <t>23/12 09:35</t>
  </si>
  <si>
    <t>18.89</t>
  </si>
  <si>
    <t>1.63</t>
  </si>
  <si>
    <t>79.10</t>
  </si>
  <si>
    <t>17.82</t>
  </si>
  <si>
    <t>109.11</t>
  </si>
  <si>
    <t>0.59</t>
  </si>
  <si>
    <t>13.18</t>
  </si>
  <si>
    <t>23.47</t>
  </si>
  <si>
    <t>37.37</t>
  </si>
  <si>
    <t>45.37</t>
  </si>
  <si>
    <t>47.47</t>
  </si>
  <si>
    <t>4.54</t>
  </si>
  <si>
    <t>62.41</t>
  </si>
  <si>
    <t>0.49</t>
  </si>
  <si>
    <t>9.57</t>
  </si>
  <si>
    <t>40.82</t>
  </si>
  <si>
    <t>8.11</t>
  </si>
  <si>
    <t>11.12</t>
  </si>
  <si>
    <t>4.59</t>
  </si>
  <si>
    <t>23/12 09:36</t>
  </si>
  <si>
    <t>8.91</t>
  </si>
  <si>
    <t>0.79</t>
  </si>
  <si>
    <t>10.30</t>
  </si>
  <si>
    <t>78.90</t>
  </si>
  <si>
    <t>9.08</t>
  </si>
  <si>
    <t>94.66</t>
  </si>
  <si>
    <t>11.64</t>
  </si>
  <si>
    <t>109.92</t>
  </si>
  <si>
    <t>6.97</t>
  </si>
  <si>
    <t>90.12</t>
  </si>
  <si>
    <t>42.27</t>
  </si>
  <si>
    <t>96.19</t>
  </si>
  <si>
    <t>27.96</t>
  </si>
  <si>
    <t>14.99</t>
  </si>
  <si>
    <t>23/12 09:37</t>
  </si>
  <si>
    <t>33.01</t>
  </si>
  <si>
    <t>40.79</t>
  </si>
  <si>
    <t>48.46</t>
  </si>
  <si>
    <t>8.48</t>
  </si>
  <si>
    <t>73.89</t>
  </si>
  <si>
    <t>44.52</t>
  </si>
  <si>
    <t>27.62</t>
  </si>
  <si>
    <t>18.92</t>
  </si>
  <si>
    <t>48.57</t>
  </si>
  <si>
    <t>8.65</t>
  </si>
  <si>
    <t>81.88</t>
  </si>
  <si>
    <t>25.49</t>
  </si>
  <si>
    <t>63.43</t>
  </si>
  <si>
    <t>3.08</t>
  </si>
  <si>
    <t>57.59</t>
  </si>
  <si>
    <t>5.46</t>
  </si>
  <si>
    <t>23/12 09:38</t>
  </si>
  <si>
    <t>44.19</t>
  </si>
  <si>
    <t>51.49</t>
  </si>
  <si>
    <t>23.72</t>
  </si>
  <si>
    <t>77.32</t>
  </si>
  <si>
    <t>24.07</t>
  </si>
  <si>
    <t>131.99</t>
  </si>
  <si>
    <t>16.93</t>
  </si>
  <si>
    <t>23/12 09:39</t>
  </si>
  <si>
    <t>85.36</t>
  </si>
  <si>
    <t>0.98</t>
  </si>
  <si>
    <t>33.77</t>
  </si>
  <si>
    <t>5.11</t>
  </si>
  <si>
    <t>48.95</t>
  </si>
  <si>
    <t>11.25</t>
  </si>
  <si>
    <t>38.04</t>
  </si>
  <si>
    <t>50.42</t>
  </si>
  <si>
    <t>4.70</t>
  </si>
  <si>
    <t>50.75</t>
  </si>
  <si>
    <t>15.89</t>
  </si>
  <si>
    <t>13.81</t>
  </si>
  <si>
    <t>2.11</t>
  </si>
  <si>
    <t>57.73</t>
  </si>
  <si>
    <t>20.32</t>
  </si>
  <si>
    <t>23/12 09:40</t>
  </si>
  <si>
    <t>36.57</t>
  </si>
  <si>
    <t>1.85</t>
  </si>
  <si>
    <t>46.67</t>
  </si>
  <si>
    <t>22.13</t>
  </si>
  <si>
    <t>51.08</t>
  </si>
  <si>
    <t>9.50</t>
  </si>
  <si>
    <t>48.98</t>
  </si>
  <si>
    <t>9.63</t>
  </si>
  <si>
    <t>95.26</t>
  </si>
  <si>
    <t>85.44</t>
  </si>
  <si>
    <t>63.20</t>
  </si>
  <si>
    <t>98.85</t>
  </si>
  <si>
    <t>11.11</t>
  </si>
  <si>
    <t>128.11</t>
  </si>
  <si>
    <t>23/12 09:41</t>
  </si>
  <si>
    <t>48.26</t>
  </si>
  <si>
    <t>1.96</t>
  </si>
  <si>
    <t>49.64</t>
  </si>
  <si>
    <t>23.55</t>
  </si>
  <si>
    <t>32.65</t>
  </si>
  <si>
    <t>15.20</t>
  </si>
  <si>
    <t>29.88</t>
  </si>
  <si>
    <t>1.35</t>
  </si>
  <si>
    <t>131.39</t>
  </si>
  <si>
    <t>40.30</t>
  </si>
  <si>
    <t>40.19</t>
  </si>
  <si>
    <t>49.36</t>
  </si>
  <si>
    <t>15.70</t>
  </si>
  <si>
    <t>21.89</t>
  </si>
  <si>
    <t>3.04</t>
  </si>
  <si>
    <t>101.89</t>
  </si>
  <si>
    <t>2.03</t>
  </si>
  <si>
    <t>23/12 09:42</t>
  </si>
  <si>
    <t>1.47</t>
  </si>
  <si>
    <t>10.24</t>
  </si>
  <si>
    <t>96.61</t>
  </si>
  <si>
    <t>3.75</t>
  </si>
  <si>
    <t>28.89</t>
  </si>
  <si>
    <t>31.43</t>
  </si>
  <si>
    <t>34.23</t>
  </si>
  <si>
    <t>4.87</t>
  </si>
  <si>
    <t>70.20</t>
  </si>
  <si>
    <t>11.65</t>
  </si>
  <si>
    <t>91.90</t>
  </si>
  <si>
    <t>21.35</t>
  </si>
  <si>
    <t>33.86</t>
  </si>
  <si>
    <t>9.82</t>
  </si>
  <si>
    <t>9.03</t>
  </si>
  <si>
    <t>95.80</t>
  </si>
  <si>
    <t>2.49</t>
  </si>
  <si>
    <t>23/12 09:43</t>
  </si>
  <si>
    <t>117.07</t>
  </si>
  <si>
    <t>17.22</t>
  </si>
  <si>
    <t>88.12</t>
  </si>
  <si>
    <t>18.59</t>
  </si>
  <si>
    <t>21.24</t>
  </si>
  <si>
    <t>44.53</t>
  </si>
  <si>
    <t>13.38</t>
  </si>
  <si>
    <t>28.86</t>
  </si>
  <si>
    <t>130.01</t>
  </si>
  <si>
    <t>91.93</t>
  </si>
  <si>
    <t>36.06</t>
  </si>
  <si>
    <t>1.93</t>
  </si>
  <si>
    <t>51.01</t>
  </si>
  <si>
    <t>23/12 09:44</t>
  </si>
  <si>
    <t>64.21</t>
  </si>
  <si>
    <t>30.02</t>
  </si>
  <si>
    <t>48.56</t>
  </si>
  <si>
    <t>14.59</t>
  </si>
  <si>
    <t>55.76</t>
  </si>
  <si>
    <t>19.52</t>
  </si>
  <si>
    <t>97.69</t>
  </si>
  <si>
    <t>4.90</t>
  </si>
  <si>
    <t>89.63</t>
  </si>
  <si>
    <t>16.69</t>
  </si>
  <si>
    <t>89.51</t>
  </si>
  <si>
    <t>1.30</t>
  </si>
  <si>
    <t>35.98</t>
  </si>
  <si>
    <t>48.08</t>
  </si>
  <si>
    <t>7.30</t>
  </si>
  <si>
    <t>44.24</t>
  </si>
  <si>
    <t>23/12 09:45</t>
  </si>
  <si>
    <t>35.99</t>
  </si>
  <si>
    <t>15.78</t>
  </si>
  <si>
    <t>49.17</t>
  </si>
  <si>
    <t>20.95</t>
  </si>
  <si>
    <t>32.54</t>
  </si>
  <si>
    <t>10.90</t>
  </si>
  <si>
    <t>88.23</t>
  </si>
  <si>
    <t>1.60</t>
  </si>
  <si>
    <t>72.24</t>
  </si>
  <si>
    <t>8.34</t>
  </si>
  <si>
    <t>130.17</t>
  </si>
  <si>
    <t>2.41</t>
  </si>
  <si>
    <t>6.73</t>
  </si>
  <si>
    <t>36.92</t>
  </si>
  <si>
    <t>100.43</t>
  </si>
  <si>
    <t>23.25</t>
  </si>
  <si>
    <t>23/12 09:46</t>
  </si>
  <si>
    <t>70.84</t>
  </si>
  <si>
    <t>10.02</t>
  </si>
  <si>
    <t>44.39</t>
  </si>
  <si>
    <t>7.46</t>
  </si>
  <si>
    <t>89.25</t>
  </si>
  <si>
    <t>10.27</t>
  </si>
  <si>
    <t>18.63</t>
  </si>
  <si>
    <t>115.23</t>
  </si>
  <si>
    <t>5.10</t>
  </si>
  <si>
    <t>68.47</t>
  </si>
  <si>
    <t>0.97</t>
  </si>
  <si>
    <t>15.22</t>
  </si>
  <si>
    <t>44.26</t>
  </si>
  <si>
    <t>70.42</t>
  </si>
  <si>
    <t>19.06</t>
  </si>
  <si>
    <t>42.33</t>
  </si>
  <si>
    <t>23/12 09:47</t>
  </si>
  <si>
    <t>52.95</t>
  </si>
  <si>
    <t>21.59</t>
  </si>
  <si>
    <t>5.67</t>
  </si>
  <si>
    <t>21.62</t>
  </si>
  <si>
    <t>6.37</t>
  </si>
  <si>
    <t>16.85</t>
  </si>
  <si>
    <t>1.14</t>
  </si>
  <si>
    <t>12.05</t>
  </si>
  <si>
    <t>45.20</t>
  </si>
  <si>
    <t>47.99</t>
  </si>
  <si>
    <t>31.08</t>
  </si>
  <si>
    <t>23/12 09:48</t>
  </si>
  <si>
    <t>6.75</t>
  </si>
  <si>
    <t>6.76</t>
  </si>
  <si>
    <t>37.58</t>
  </si>
  <si>
    <t>15.91</t>
  </si>
  <si>
    <t>115.78</t>
  </si>
  <si>
    <t>13.67</t>
  </si>
  <si>
    <t>45.15</t>
  </si>
  <si>
    <t>9.66</t>
  </si>
  <si>
    <t>144.08</t>
  </si>
  <si>
    <t>25.96</t>
  </si>
  <si>
    <t>90.60</t>
  </si>
  <si>
    <t>1.58</t>
  </si>
  <si>
    <t>23.45</t>
  </si>
  <si>
    <t>43.36</t>
  </si>
  <si>
    <t>25.48</t>
  </si>
  <si>
    <t>44.67</t>
  </si>
  <si>
    <t>23/12 09:49</t>
  </si>
  <si>
    <t>2.94</t>
  </si>
  <si>
    <t>44.92</t>
  </si>
  <si>
    <t>47.12</t>
  </si>
  <si>
    <t>4.53</t>
  </si>
  <si>
    <t>10.76</t>
  </si>
  <si>
    <t>4.16</t>
  </si>
  <si>
    <t>86.07</t>
  </si>
  <si>
    <t>1.52</t>
  </si>
  <si>
    <t>47.41</t>
  </si>
  <si>
    <t>28.20</t>
  </si>
  <si>
    <t>5.51</t>
  </si>
  <si>
    <t>59.16</t>
  </si>
  <si>
    <t>9.48</t>
  </si>
  <si>
    <t>23/12 09:50</t>
  </si>
  <si>
    <t>21.97</t>
  </si>
  <si>
    <t>75.53</t>
  </si>
  <si>
    <t>4.61</t>
  </si>
  <si>
    <t>27.94</t>
  </si>
  <si>
    <t>4.75</t>
  </si>
  <si>
    <t>17.15</t>
  </si>
  <si>
    <t>24.34</t>
  </si>
  <si>
    <t>94.12</t>
  </si>
  <si>
    <t>4.43</t>
  </si>
  <si>
    <t>79.07</t>
  </si>
  <si>
    <t>97.21</t>
  </si>
  <si>
    <t>5.08</t>
  </si>
  <si>
    <t>104.62</t>
  </si>
  <si>
    <t>5.93</t>
  </si>
  <si>
    <t>23/12 09:51</t>
  </si>
  <si>
    <t>61.56</t>
  </si>
  <si>
    <t>43.40</t>
  </si>
  <si>
    <t>89.58</t>
  </si>
  <si>
    <t>53.47</t>
  </si>
  <si>
    <t>1.86</t>
  </si>
  <si>
    <t>18.77</t>
  </si>
  <si>
    <t>3.11</t>
  </si>
  <si>
    <t>39.96</t>
  </si>
  <si>
    <t>7.91</t>
  </si>
  <si>
    <t>59.94</t>
  </si>
  <si>
    <t>21.01</t>
  </si>
  <si>
    <t>29.68</t>
  </si>
  <si>
    <t>7.07</t>
  </si>
  <si>
    <t>180.35</t>
  </si>
  <si>
    <t>25.98</t>
  </si>
  <si>
    <t>23/12 09:52</t>
  </si>
  <si>
    <t>88.75</t>
  </si>
  <si>
    <t>88.91</t>
  </si>
  <si>
    <t>53.78</t>
  </si>
  <si>
    <t>23.13</t>
  </si>
  <si>
    <t>14.92</t>
  </si>
  <si>
    <t>137.23</t>
  </si>
  <si>
    <t>1.79</t>
  </si>
  <si>
    <t>76.10</t>
  </si>
  <si>
    <t>103.46</t>
  </si>
  <si>
    <t>10.70</t>
  </si>
  <si>
    <t>39.91</t>
  </si>
  <si>
    <t>14.83</t>
  </si>
  <si>
    <t>20.86</t>
  </si>
  <si>
    <t>85.23</t>
  </si>
  <si>
    <t>2.44</t>
  </si>
  <si>
    <t>5.80</t>
  </si>
  <si>
    <t>23/12 09:53</t>
  </si>
  <si>
    <t>37.43</t>
  </si>
  <si>
    <t>49.73</t>
  </si>
  <si>
    <t>40.21</t>
  </si>
  <si>
    <t>29.36</t>
  </si>
  <si>
    <t>43.98</t>
  </si>
  <si>
    <t>45.90</t>
  </si>
  <si>
    <t>12.83</t>
  </si>
  <si>
    <t>62.75</t>
  </si>
  <si>
    <t>7.16</t>
  </si>
  <si>
    <t>24.12</t>
  </si>
  <si>
    <t>13.78</t>
  </si>
  <si>
    <t>23/12 09:54</t>
  </si>
  <si>
    <t>33.70</t>
  </si>
  <si>
    <t>8.71</t>
  </si>
  <si>
    <t>87.93</t>
  </si>
  <si>
    <t>73.69</t>
  </si>
  <si>
    <t>4.12</t>
  </si>
  <si>
    <t>126.76</t>
  </si>
  <si>
    <t>6.69</t>
  </si>
  <si>
    <t>39.95</t>
  </si>
  <si>
    <t>1.82</t>
  </si>
  <si>
    <t>72.65</t>
  </si>
  <si>
    <t>5.85</t>
  </si>
  <si>
    <t>18.15</t>
  </si>
  <si>
    <t>25.60</t>
  </si>
  <si>
    <t>48.31</t>
  </si>
  <si>
    <t>48.62</t>
  </si>
  <si>
    <t>23/12 09:55</t>
  </si>
  <si>
    <t>53.01</t>
  </si>
  <si>
    <t>14.60</t>
  </si>
  <si>
    <t>42.84</t>
  </si>
  <si>
    <t>2.66</t>
  </si>
  <si>
    <t>58.64</t>
  </si>
  <si>
    <t>35.08</t>
  </si>
  <si>
    <t>11.32</t>
  </si>
  <si>
    <t>142.34</t>
  </si>
  <si>
    <t>11.28</t>
  </si>
  <si>
    <t>18.01</t>
  </si>
  <si>
    <t>13.70</t>
  </si>
  <si>
    <t>6.06</t>
  </si>
  <si>
    <t>169.66</t>
  </si>
  <si>
    <t>1.16</t>
  </si>
  <si>
    <t>13.32</t>
  </si>
  <si>
    <t>23/12 09:56</t>
  </si>
  <si>
    <t>64.76</t>
  </si>
  <si>
    <t>20.38</t>
  </si>
  <si>
    <t>46.30</t>
  </si>
  <si>
    <t>5.12</t>
  </si>
  <si>
    <t>34.30</t>
  </si>
  <si>
    <t>40.76</t>
  </si>
  <si>
    <t>5.66</t>
  </si>
  <si>
    <t>68.80</t>
  </si>
  <si>
    <t>105.28</t>
  </si>
  <si>
    <t>8.44</t>
  </si>
  <si>
    <t>90.41</t>
  </si>
  <si>
    <t>37.57</t>
  </si>
  <si>
    <t>11.16</t>
  </si>
  <si>
    <t>20.92</t>
  </si>
  <si>
    <t>13.59</t>
  </si>
  <si>
    <t>23/12 09:57</t>
  </si>
  <si>
    <t>22.27</t>
  </si>
  <si>
    <t>30.87</t>
  </si>
  <si>
    <t>48.59</t>
  </si>
  <si>
    <t>71.38</t>
  </si>
  <si>
    <t>10.17</t>
  </si>
  <si>
    <t>27.47</t>
  </si>
  <si>
    <t>18.31</t>
  </si>
  <si>
    <t>44.84</t>
  </si>
  <si>
    <t>30.62</t>
  </si>
  <si>
    <t>5.18</t>
  </si>
  <si>
    <t>2.95</t>
  </si>
  <si>
    <t>2.60</t>
  </si>
  <si>
    <t>23/12 09:58</t>
  </si>
  <si>
    <t>59.02</t>
  </si>
  <si>
    <t>63.61</t>
  </si>
  <si>
    <t>7.97</t>
  </si>
  <si>
    <t>38.82</t>
  </si>
  <si>
    <t>2.51</t>
  </si>
  <si>
    <t>11.05</t>
  </si>
  <si>
    <t>66.48</t>
  </si>
  <si>
    <t>2.45</t>
  </si>
  <si>
    <t>92.03</t>
  </si>
  <si>
    <t>1.90</t>
  </si>
  <si>
    <t>26.63</t>
  </si>
  <si>
    <t>6.27</t>
  </si>
  <si>
    <t>73.47</t>
  </si>
  <si>
    <t>4.98</t>
  </si>
  <si>
    <t>75.65</t>
  </si>
  <si>
    <t>23/12 09:59</t>
  </si>
  <si>
    <t>36.81</t>
  </si>
  <si>
    <t>16.15</t>
  </si>
  <si>
    <t>96.33</t>
  </si>
  <si>
    <t>33.21</t>
  </si>
  <si>
    <t>17.35</t>
  </si>
  <si>
    <t>138.11</t>
  </si>
  <si>
    <t>133.39</t>
  </si>
  <si>
    <t>23.32</t>
  </si>
  <si>
    <t>14.52</t>
  </si>
  <si>
    <t>43.72</t>
  </si>
  <si>
    <t>36.38</t>
  </si>
  <si>
    <t>55.55</t>
  </si>
  <si>
    <t>9.74</t>
  </si>
  <si>
    <t>23/12 10:00</t>
  </si>
  <si>
    <t>278.72</t>
  </si>
  <si>
    <t>17.09</t>
  </si>
  <si>
    <t>3.42</t>
  </si>
  <si>
    <t>38.47</t>
  </si>
  <si>
    <t>9.69</t>
  </si>
  <si>
    <t>186.80</t>
  </si>
  <si>
    <t>1.92</t>
  </si>
  <si>
    <t>12.23</t>
  </si>
  <si>
    <t>17.34</t>
  </si>
  <si>
    <t>37.85</t>
  </si>
  <si>
    <t>93.80</t>
  </si>
  <si>
    <t>47.62</t>
  </si>
  <si>
    <t>11.91</t>
  </si>
  <si>
    <t>31.26</t>
  </si>
  <si>
    <t>1.49</t>
  </si>
  <si>
    <t>23/12 10:01</t>
  </si>
  <si>
    <t>63.99</t>
  </si>
  <si>
    <t>21.10</t>
  </si>
  <si>
    <t>50.04</t>
  </si>
  <si>
    <t>37.69</t>
  </si>
  <si>
    <t>11.54</t>
  </si>
  <si>
    <t>32.99</t>
  </si>
  <si>
    <t>8.54</t>
  </si>
  <si>
    <t>104.54</t>
  </si>
  <si>
    <t>6.10</t>
  </si>
  <si>
    <t>47.69</t>
  </si>
  <si>
    <t>38.17</t>
  </si>
  <si>
    <t>47.96</t>
  </si>
  <si>
    <t>5.09</t>
  </si>
  <si>
    <t>23/12 10:02</t>
  </si>
  <si>
    <t>24.04</t>
  </si>
  <si>
    <t>1.43</t>
  </si>
  <si>
    <t>88.86</t>
  </si>
  <si>
    <t>10.15</t>
  </si>
  <si>
    <t>59.29</t>
  </si>
  <si>
    <t>4.67</t>
  </si>
  <si>
    <t>51.85</t>
  </si>
  <si>
    <t>33.80</t>
  </si>
  <si>
    <t>45.50</t>
  </si>
  <si>
    <t>40.55</t>
  </si>
  <si>
    <t>18.87</t>
  </si>
  <si>
    <t>97.92</t>
  </si>
  <si>
    <t>5.44</t>
  </si>
  <si>
    <t>11.03</t>
  </si>
  <si>
    <t>23/12 10:03</t>
  </si>
  <si>
    <t>56.74</t>
  </si>
  <si>
    <t>6.84</t>
  </si>
  <si>
    <t>22.84</t>
  </si>
  <si>
    <t>6.92</t>
  </si>
  <si>
    <t>89.66</t>
  </si>
  <si>
    <t>12.29</t>
  </si>
  <si>
    <t>35.69</t>
  </si>
  <si>
    <t>39.84</t>
  </si>
  <si>
    <t>10.60</t>
  </si>
  <si>
    <t>42.44</t>
  </si>
  <si>
    <t>5.81</t>
  </si>
  <si>
    <t>7.81</t>
  </si>
  <si>
    <t>4.29</t>
  </si>
  <si>
    <t>70.90</t>
  </si>
  <si>
    <t>23/12 10:04</t>
  </si>
  <si>
    <t>49.89</t>
  </si>
  <si>
    <t>4.06</t>
  </si>
  <si>
    <t>81.80</t>
  </si>
  <si>
    <t>38.21</t>
  </si>
  <si>
    <t>19.91</t>
  </si>
  <si>
    <t>2.78</t>
  </si>
  <si>
    <t>43.42</t>
  </si>
  <si>
    <t>52.61</t>
  </si>
  <si>
    <t>2.70</t>
  </si>
  <si>
    <t>11.50</t>
  </si>
  <si>
    <t>49.49</t>
  </si>
  <si>
    <t>10.74</t>
  </si>
  <si>
    <t>23/12 10:05</t>
  </si>
  <si>
    <t>89.57</t>
  </si>
  <si>
    <t>13.85</t>
  </si>
  <si>
    <t>51.41</t>
  </si>
  <si>
    <t>45.46</t>
  </si>
  <si>
    <t>53.70</t>
  </si>
  <si>
    <t>3.21</t>
  </si>
  <si>
    <t>84.15</t>
  </si>
  <si>
    <t>8.57</t>
  </si>
  <si>
    <t>108.03</t>
  </si>
  <si>
    <t>14.07</t>
  </si>
  <si>
    <t>87.74</t>
  </si>
  <si>
    <t>46.53</t>
  </si>
  <si>
    <t>89.72</t>
  </si>
  <si>
    <t>6.23</t>
  </si>
  <si>
    <t>55.06</t>
  </si>
  <si>
    <t>3.25</t>
  </si>
  <si>
    <t>23/12 10:06</t>
  </si>
  <si>
    <t>42.32</t>
  </si>
  <si>
    <t>15.59</t>
  </si>
  <si>
    <t>30.72</t>
  </si>
  <si>
    <t>52.16</t>
  </si>
  <si>
    <t>16.33</t>
  </si>
  <si>
    <t>136.58</t>
  </si>
  <si>
    <t>5.75</t>
  </si>
  <si>
    <t>90.47</t>
  </si>
  <si>
    <t>6.11</t>
  </si>
  <si>
    <t>84.47</t>
  </si>
  <si>
    <t>4.42</t>
  </si>
  <si>
    <t>129.11</t>
  </si>
  <si>
    <t>17.57</t>
  </si>
  <si>
    <t>35.00</t>
  </si>
  <si>
    <t>5.22</t>
  </si>
  <si>
    <t>72.64</t>
  </si>
  <si>
    <t>93.37</t>
  </si>
  <si>
    <t>23/12 10:07</t>
  </si>
  <si>
    <t>30.28</t>
  </si>
  <si>
    <t>17.61</t>
  </si>
  <si>
    <t>18.75</t>
  </si>
  <si>
    <t>11.29</t>
  </si>
  <si>
    <t>33.14</t>
  </si>
  <si>
    <t>58.36</t>
  </si>
  <si>
    <t>4.89</t>
  </si>
  <si>
    <t>45.59</t>
  </si>
  <si>
    <t>11.84</t>
  </si>
  <si>
    <t>2.04</t>
  </si>
  <si>
    <t>51.55</t>
  </si>
  <si>
    <t>93.70</t>
  </si>
  <si>
    <t>3.99</t>
  </si>
  <si>
    <t>40.41</t>
  </si>
  <si>
    <t>24.00</t>
  </si>
  <si>
    <t>23/12 10:08</t>
  </si>
  <si>
    <t>16.22</t>
  </si>
  <si>
    <t>105.71</t>
  </si>
  <si>
    <t>6.02</t>
  </si>
  <si>
    <t>135.47</t>
  </si>
  <si>
    <t>16.14</t>
  </si>
  <si>
    <t>36.30</t>
  </si>
  <si>
    <t>24.56</t>
  </si>
  <si>
    <t>58.30</t>
  </si>
  <si>
    <t>11.99</t>
  </si>
  <si>
    <t>10.50</t>
  </si>
  <si>
    <t>5.61</t>
  </si>
  <si>
    <t>22.03</t>
  </si>
  <si>
    <t>146.27</t>
  </si>
  <si>
    <t>12.52</t>
  </si>
  <si>
    <t>23/12 10:09</t>
  </si>
  <si>
    <t>69.59</t>
  </si>
  <si>
    <t>11.41</t>
  </si>
  <si>
    <t>64.02</t>
  </si>
  <si>
    <t>5.91</t>
  </si>
  <si>
    <t>18.88</t>
  </si>
  <si>
    <t>67.26</t>
  </si>
  <si>
    <t>6.95</t>
  </si>
  <si>
    <t>84.69</t>
  </si>
  <si>
    <t>16.30</t>
  </si>
  <si>
    <t>37.49</t>
  </si>
  <si>
    <t>6.42</t>
  </si>
  <si>
    <t>38.00</t>
  </si>
  <si>
    <t>38.73</t>
  </si>
  <si>
    <t>40.09</t>
  </si>
  <si>
    <t>23/12 10:10</t>
  </si>
  <si>
    <t>120.35</t>
  </si>
  <si>
    <t>2.22</t>
  </si>
  <si>
    <t>36.13</t>
  </si>
  <si>
    <t>21.48</t>
  </si>
  <si>
    <t>50.59</t>
  </si>
  <si>
    <t>10.98</t>
  </si>
  <si>
    <t>8.33</t>
  </si>
  <si>
    <t>55.29</t>
  </si>
  <si>
    <t>18.20</t>
  </si>
  <si>
    <t>31.09</t>
  </si>
  <si>
    <t>20.84</t>
  </si>
  <si>
    <t>28.27</t>
  </si>
  <si>
    <t>6.63</t>
  </si>
  <si>
    <t>48.97</t>
  </si>
  <si>
    <t>9.96</t>
  </si>
  <si>
    <t>23/12 10:11</t>
  </si>
  <si>
    <t>45.67</t>
  </si>
  <si>
    <t>20.52</t>
  </si>
  <si>
    <t>17.50</t>
  </si>
  <si>
    <t>2.30</t>
  </si>
  <si>
    <t>70.14</t>
  </si>
  <si>
    <t>34.58</t>
  </si>
  <si>
    <t>124.23</t>
  </si>
  <si>
    <t>21.72</t>
  </si>
  <si>
    <t>44.86</t>
  </si>
  <si>
    <t>35.33</t>
  </si>
  <si>
    <t>108.83</t>
  </si>
  <si>
    <t>1.84</t>
  </si>
  <si>
    <t>5.32</t>
  </si>
  <si>
    <t>34.33</t>
  </si>
  <si>
    <t>11.42</t>
  </si>
  <si>
    <t>49.41</t>
  </si>
  <si>
    <t>9.92</t>
  </si>
  <si>
    <t>48.40</t>
  </si>
  <si>
    <t>23/12 10:12</t>
  </si>
  <si>
    <t>104.03</t>
  </si>
  <si>
    <t>16.77</t>
  </si>
  <si>
    <t>89.54</t>
  </si>
  <si>
    <t>9.22</t>
  </si>
  <si>
    <t>18.08</t>
  </si>
  <si>
    <t>1.34</t>
  </si>
  <si>
    <t>55.48</t>
  </si>
  <si>
    <t>6.86</t>
  </si>
  <si>
    <t>208.93</t>
  </si>
  <si>
    <t>21.93</t>
  </si>
  <si>
    <t>101.48</t>
  </si>
  <si>
    <t>39.98</t>
  </si>
  <si>
    <t>8.73</t>
  </si>
  <si>
    <t>87.67</t>
  </si>
  <si>
    <t>3.23</t>
  </si>
  <si>
    <t>10.71</t>
  </si>
  <si>
    <t>23/12 10:13</t>
  </si>
  <si>
    <t>5.57</t>
  </si>
  <si>
    <t>26.28</t>
  </si>
  <si>
    <t>1.10</t>
  </si>
  <si>
    <t>82.09</t>
  </si>
  <si>
    <t>16.78</t>
  </si>
  <si>
    <t>45.71</t>
  </si>
  <si>
    <t>48.21</t>
  </si>
  <si>
    <t>12.27</t>
  </si>
  <si>
    <t>49.93</t>
  </si>
  <si>
    <t>24.14</t>
  </si>
  <si>
    <t>75.73</t>
  </si>
  <si>
    <t>9.84</t>
  </si>
  <si>
    <t>48.60</t>
  </si>
  <si>
    <t>23/12 10:14</t>
  </si>
  <si>
    <t>16.29</t>
  </si>
  <si>
    <t>44.08</t>
  </si>
  <si>
    <t>17.25</t>
  </si>
  <si>
    <t>9.30</t>
  </si>
  <si>
    <t>3.29</t>
  </si>
  <si>
    <t>100.83</t>
  </si>
  <si>
    <t>40.22</t>
  </si>
  <si>
    <t>20.39</t>
  </si>
  <si>
    <t>61.17</t>
  </si>
  <si>
    <t>25.09</t>
  </si>
  <si>
    <t>42.21</t>
  </si>
  <si>
    <t>12.76</t>
  </si>
  <si>
    <t>23/12 10:15</t>
  </si>
  <si>
    <t>42.87</t>
  </si>
  <si>
    <t>3.73</t>
  </si>
  <si>
    <t>127.91</t>
  </si>
  <si>
    <t>31.87</t>
  </si>
  <si>
    <t>50.30</t>
  </si>
  <si>
    <t>5.38</t>
  </si>
  <si>
    <t>139.23</t>
  </si>
  <si>
    <t>28.99</t>
  </si>
  <si>
    <t>23/12 10:16</t>
  </si>
  <si>
    <t>15.09</t>
  </si>
  <si>
    <t>36.93</t>
  </si>
  <si>
    <t>53.49</t>
  </si>
  <si>
    <t>4.86</t>
  </si>
  <si>
    <t>78.36</t>
  </si>
  <si>
    <t>16.21</t>
  </si>
  <si>
    <t>43.23</t>
  </si>
  <si>
    <t>11.61</t>
  </si>
  <si>
    <t>2.72</t>
  </si>
  <si>
    <t>18.90</t>
  </si>
  <si>
    <t>45.89</t>
  </si>
  <si>
    <t>59.67</t>
  </si>
  <si>
    <t>4.97</t>
  </si>
  <si>
    <t>23/12 10:17</t>
  </si>
  <si>
    <t>21.23</t>
  </si>
  <si>
    <t>2.69</t>
  </si>
  <si>
    <t>55.39</t>
  </si>
  <si>
    <t>20.04</t>
  </si>
  <si>
    <t>68.61</t>
  </si>
  <si>
    <t>29.39</t>
  </si>
  <si>
    <t>116.58</t>
  </si>
  <si>
    <t>12.70</t>
  </si>
  <si>
    <t>52.18</t>
  </si>
  <si>
    <t>36.64</t>
  </si>
  <si>
    <t>83.67</t>
  </si>
  <si>
    <t>23/12 10:18</t>
  </si>
  <si>
    <t>54.87</t>
  </si>
  <si>
    <t>49.07</t>
  </si>
  <si>
    <t>83.57</t>
  </si>
  <si>
    <t>18.39</t>
  </si>
  <si>
    <t>3.30</t>
  </si>
  <si>
    <t>37.84</t>
  </si>
  <si>
    <t>16.42</t>
  </si>
  <si>
    <t>65.29</t>
  </si>
  <si>
    <t>4.94</t>
  </si>
  <si>
    <t>50.82</t>
  </si>
  <si>
    <t>16.83</t>
  </si>
  <si>
    <t>19.51</t>
  </si>
  <si>
    <t>68.65</t>
  </si>
  <si>
    <t>7.69</t>
  </si>
  <si>
    <t>23/12 10:19</t>
  </si>
  <si>
    <t>32.12</t>
  </si>
  <si>
    <t>22.40</t>
  </si>
  <si>
    <t>86.18</t>
  </si>
  <si>
    <t>52.65</t>
  </si>
  <si>
    <t>3.01</t>
  </si>
  <si>
    <t>19.22</t>
  </si>
  <si>
    <t>9.15</t>
  </si>
  <si>
    <t>3.02</t>
  </si>
  <si>
    <t>108.02</t>
  </si>
  <si>
    <t>1.08</t>
  </si>
  <si>
    <t>30.46</t>
  </si>
  <si>
    <t>23.48</t>
  </si>
  <si>
    <t>36.21</t>
  </si>
  <si>
    <t>1.66</t>
  </si>
  <si>
    <t>23/12 10:20</t>
  </si>
  <si>
    <t>27.66</t>
  </si>
  <si>
    <t>13.33</t>
  </si>
  <si>
    <t>72.32</t>
  </si>
  <si>
    <t>17.91</t>
  </si>
  <si>
    <t>34.81</t>
  </si>
  <si>
    <t>26.17</t>
  </si>
  <si>
    <t>1.91</t>
  </si>
  <si>
    <t>81.04</t>
  </si>
  <si>
    <t>10.10</t>
  </si>
  <si>
    <t>52.64</t>
  </si>
  <si>
    <t>2.34</t>
  </si>
  <si>
    <t>51.35</t>
  </si>
  <si>
    <t>49.37</t>
  </si>
  <si>
    <t>15.04</t>
  </si>
  <si>
    <t>46.81</t>
  </si>
  <si>
    <t>31.65</t>
  </si>
  <si>
    <t>77.24</t>
  </si>
  <si>
    <t>23/12 10:21</t>
  </si>
  <si>
    <t>98.62</t>
  </si>
  <si>
    <t>39.47</t>
  </si>
  <si>
    <t>65.18</t>
  </si>
  <si>
    <t>1.78</t>
  </si>
  <si>
    <t>20.14</t>
  </si>
  <si>
    <t>88.60</t>
  </si>
  <si>
    <t>2.17</t>
  </si>
  <si>
    <t>76.42</t>
  </si>
  <si>
    <t>29.50</t>
  </si>
  <si>
    <t>18.34</t>
  </si>
  <si>
    <t>39.21</t>
  </si>
  <si>
    <t>1.46</t>
  </si>
  <si>
    <t>119.23</t>
  </si>
  <si>
    <t>25.25</t>
  </si>
  <si>
    <t>2.73</t>
  </si>
  <si>
    <t>23/12 10:22</t>
  </si>
  <si>
    <t>71.60</t>
  </si>
  <si>
    <t>78.92</t>
  </si>
  <si>
    <t>49.70</t>
  </si>
  <si>
    <t>23/12 10:23</t>
  </si>
  <si>
    <t>1.83</t>
  </si>
  <si>
    <t>54.44</t>
  </si>
  <si>
    <t>1.44</t>
  </si>
  <si>
    <t>39.87</t>
  </si>
  <si>
    <t>136.80</t>
  </si>
  <si>
    <t>17.52</t>
  </si>
  <si>
    <t>114.21</t>
  </si>
  <si>
    <t>3.26</t>
  </si>
  <si>
    <t>17.94</t>
  </si>
  <si>
    <t>17.45</t>
  </si>
  <si>
    <t>67.45</t>
  </si>
  <si>
    <t>9.71</t>
  </si>
  <si>
    <t>46.20</t>
  </si>
  <si>
    <t>36.26</t>
  </si>
  <si>
    <t>23/12 10:24</t>
  </si>
  <si>
    <t>91.37</t>
  </si>
  <si>
    <t>2.48</t>
  </si>
  <si>
    <t>37.65</t>
  </si>
  <si>
    <t>50.91</t>
  </si>
  <si>
    <t>438.93</t>
  </si>
  <si>
    <t>10.88</t>
  </si>
  <si>
    <t>50.54</t>
  </si>
  <si>
    <t>64.87</t>
  </si>
  <si>
    <t>13.21</t>
  </si>
  <si>
    <t>41.37</t>
  </si>
  <si>
    <t>2.08</t>
  </si>
  <si>
    <t>27.01</t>
  </si>
  <si>
    <t>4.19</t>
  </si>
  <si>
    <t>2.43</t>
  </si>
  <si>
    <t>23/12 10:25</t>
  </si>
  <si>
    <t>71.01</t>
  </si>
  <si>
    <t>53.06</t>
  </si>
  <si>
    <t>35.25</t>
  </si>
  <si>
    <t>5.76</t>
  </si>
  <si>
    <t>42.34</t>
  </si>
  <si>
    <t>99.76</t>
  </si>
  <si>
    <t>68.49</t>
  </si>
  <si>
    <t>18.51</t>
  </si>
  <si>
    <t>106.70</t>
  </si>
  <si>
    <t>45.82</t>
  </si>
  <si>
    <t>20.99</t>
  </si>
  <si>
    <t>1.01</t>
  </si>
  <si>
    <t>62.55</t>
  </si>
  <si>
    <t>23.62</t>
  </si>
  <si>
    <t>93.71</t>
  </si>
  <si>
    <t>13.47</t>
  </si>
  <si>
    <t>46.75</t>
  </si>
  <si>
    <t>5.49</t>
  </si>
  <si>
    <t>23/12 10:26</t>
  </si>
  <si>
    <t>51.50</t>
  </si>
  <si>
    <t>5.74</t>
  </si>
  <si>
    <t>73.49</t>
  </si>
  <si>
    <t>40.86</t>
  </si>
  <si>
    <t>35.91</t>
  </si>
  <si>
    <t>69.39</t>
  </si>
  <si>
    <t>40.11</t>
  </si>
  <si>
    <t>132.15</t>
  </si>
  <si>
    <t>49.76</t>
  </si>
  <si>
    <t>13.45</t>
  </si>
  <si>
    <t>48.89</t>
  </si>
  <si>
    <t>23/12 10:27</t>
  </si>
  <si>
    <t>87.56</t>
  </si>
  <si>
    <t>20.41</t>
  </si>
  <si>
    <t>99.17</t>
  </si>
  <si>
    <t>18.06</t>
  </si>
  <si>
    <t>50.67</t>
  </si>
  <si>
    <t>19.84</t>
  </si>
  <si>
    <t>39.60</t>
  </si>
  <si>
    <t>42.57</t>
  </si>
  <si>
    <t>1.20</t>
  </si>
  <si>
    <t>8.03</t>
  </si>
  <si>
    <t>19.35</t>
  </si>
  <si>
    <t>13.19</t>
  </si>
  <si>
    <t>18.10</t>
  </si>
  <si>
    <t>4.85</t>
  </si>
  <si>
    <t>53.30</t>
  </si>
  <si>
    <t>16.04</t>
  </si>
  <si>
    <t>23/12 10:28</t>
  </si>
  <si>
    <t>43.89</t>
  </si>
  <si>
    <t>6.89</t>
  </si>
  <si>
    <t>66.76</t>
  </si>
  <si>
    <t>37.20</t>
  </si>
  <si>
    <t>27.75</t>
  </si>
  <si>
    <t>10.68</t>
  </si>
  <si>
    <t>5.82</t>
  </si>
  <si>
    <t>2.74</t>
  </si>
  <si>
    <t>24.92</t>
  </si>
  <si>
    <t>50.38</t>
  </si>
  <si>
    <t>13.73</t>
  </si>
  <si>
    <t>4.83</t>
  </si>
  <si>
    <t>90.97</t>
  </si>
  <si>
    <t>32.00</t>
  </si>
  <si>
    <t>6.99</t>
  </si>
  <si>
    <t>23/12 10:29</t>
  </si>
  <si>
    <t>22.93</t>
  </si>
  <si>
    <t>13.88</t>
  </si>
  <si>
    <t>21.71</t>
  </si>
  <si>
    <t>81.94</t>
  </si>
  <si>
    <t>32.81</t>
  </si>
  <si>
    <t>51.24</t>
  </si>
  <si>
    <t>47.24</t>
  </si>
  <si>
    <t>90.86</t>
  </si>
  <si>
    <t>29.31</t>
  </si>
  <si>
    <t>9.16</t>
  </si>
  <si>
    <t>15.05</t>
  </si>
  <si>
    <t>58.13</t>
  </si>
  <si>
    <t>43.45</t>
  </si>
  <si>
    <t>23/12 10:30</t>
  </si>
  <si>
    <t>36.52</t>
  </si>
  <si>
    <t>43.04</t>
  </si>
  <si>
    <t>16.95</t>
  </si>
  <si>
    <t>66.06</t>
  </si>
  <si>
    <t>18.53</t>
  </si>
  <si>
    <t>77.72</t>
  </si>
  <si>
    <t>2.89</t>
  </si>
  <si>
    <t>79.43</t>
  </si>
  <si>
    <t>17.70</t>
  </si>
  <si>
    <t>35.49</t>
  </si>
  <si>
    <t>91.30</t>
  </si>
  <si>
    <t>125.23</t>
  </si>
  <si>
    <t>5.00</t>
  </si>
  <si>
    <t>23/12 10:31</t>
  </si>
  <si>
    <t>592.13</t>
  </si>
  <si>
    <t>33.09</t>
  </si>
  <si>
    <t>0.96</t>
  </si>
  <si>
    <t>21.73</t>
  </si>
  <si>
    <t>13.30</t>
  </si>
  <si>
    <t>46.22</t>
  </si>
  <si>
    <t>2.92</t>
  </si>
  <si>
    <t>13.15</t>
  </si>
  <si>
    <t>22.06</t>
  </si>
  <si>
    <t>3.65</t>
  </si>
  <si>
    <t>138.92</t>
  </si>
  <si>
    <t>11.01</t>
  </si>
  <si>
    <t>97.43</t>
  </si>
  <si>
    <t>4.27</t>
  </si>
  <si>
    <t>18.98</t>
  </si>
  <si>
    <t>33.36</t>
  </si>
  <si>
    <t>23/12 10:32</t>
  </si>
  <si>
    <t>147.54</t>
  </si>
  <si>
    <t>7.19</t>
  </si>
  <si>
    <t>50.36</t>
  </si>
  <si>
    <t>119.10</t>
  </si>
  <si>
    <t>3.40</t>
  </si>
  <si>
    <t>71.19</t>
  </si>
  <si>
    <t>50.19</t>
  </si>
  <si>
    <t>20.10</t>
  </si>
  <si>
    <t>54.95</t>
  </si>
  <si>
    <t>6.77</t>
  </si>
  <si>
    <t>37.55</t>
  </si>
  <si>
    <t>23/12 10:33</t>
  </si>
  <si>
    <t>13.84</t>
  </si>
  <si>
    <t>7.22</t>
  </si>
  <si>
    <t>51.30</t>
  </si>
  <si>
    <t>15.72</t>
  </si>
  <si>
    <t>12.67</t>
  </si>
  <si>
    <t>41.83</t>
  </si>
  <si>
    <t>8.25</t>
  </si>
  <si>
    <t>52.07</t>
  </si>
  <si>
    <t>38.12</t>
  </si>
  <si>
    <t>8.52</t>
  </si>
  <si>
    <t>43.44</t>
  </si>
  <si>
    <t>85.77</t>
  </si>
  <si>
    <t>4.45</t>
  </si>
  <si>
    <t>19.08</t>
  </si>
  <si>
    <t>0.77</t>
  </si>
  <si>
    <t>14.15</t>
  </si>
  <si>
    <t>23/12 10:34</t>
  </si>
  <si>
    <t>50.47</t>
  </si>
  <si>
    <t>17.44</t>
  </si>
  <si>
    <t>67.18</t>
  </si>
  <si>
    <t>12.06</t>
  </si>
  <si>
    <t>83.93</t>
  </si>
  <si>
    <t>27.63</t>
  </si>
  <si>
    <t>141.66</t>
  </si>
  <si>
    <t>92.68</t>
  </si>
  <si>
    <t>20.40</t>
  </si>
  <si>
    <t>16.46</t>
  </si>
  <si>
    <t>93.15</t>
  </si>
  <si>
    <t>23/12 10:35</t>
  </si>
  <si>
    <t>26.29</t>
  </si>
  <si>
    <t>7.78</t>
  </si>
  <si>
    <t>78.19</t>
  </si>
  <si>
    <t>35.11</t>
  </si>
  <si>
    <t>2.31</t>
  </si>
  <si>
    <t>64.40</t>
  </si>
  <si>
    <t>17.64</t>
  </si>
  <si>
    <t>5.21</t>
  </si>
  <si>
    <t>3.35</t>
  </si>
  <si>
    <t>29.86</t>
  </si>
  <si>
    <t>24.40</t>
  </si>
  <si>
    <t>52.48</t>
  </si>
  <si>
    <t>16.55</t>
  </si>
  <si>
    <t>23/12 10:36</t>
  </si>
  <si>
    <t>35.66</t>
  </si>
  <si>
    <t>28.90</t>
  </si>
  <si>
    <t>54.67</t>
  </si>
  <si>
    <t>54.28</t>
  </si>
  <si>
    <t>7.45</t>
  </si>
  <si>
    <t>47.94</t>
  </si>
  <si>
    <t>4.36</t>
  </si>
  <si>
    <t>59.54</t>
  </si>
  <si>
    <t>14.24</t>
  </si>
  <si>
    <t>96.96</t>
  </si>
  <si>
    <t>38.57</t>
  </si>
  <si>
    <t>51.13</t>
  </si>
  <si>
    <t>92.18</t>
  </si>
  <si>
    <t>24.28</t>
  </si>
  <si>
    <t>60.70</t>
  </si>
  <si>
    <t>2.67</t>
  </si>
  <si>
    <t>8.23</t>
  </si>
  <si>
    <t>23/12 10:37</t>
  </si>
  <si>
    <t>54.32</t>
  </si>
  <si>
    <t>5.83</t>
  </si>
  <si>
    <t>105.83</t>
  </si>
  <si>
    <t>16.23</t>
  </si>
  <si>
    <t>87.52</t>
  </si>
  <si>
    <t>12.12</t>
  </si>
  <si>
    <t>97.13</t>
  </si>
  <si>
    <t>2.29</t>
  </si>
  <si>
    <t>8.89</t>
  </si>
  <si>
    <t>42.02</t>
  </si>
  <si>
    <t>19.90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</si>
</sst>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4"/>
  <sheetViews>
    <sheetView tabSelected="1" workbookViewId="0">
      <selection activeCell="C1075" sqref="C1075"/>
    </sheetView>
  </sheetViews>
  <sheetFormatPr baseColWidth="10" defaultColWidth="8.88671875" defaultRowHeight="14.4" x14ac:dyDescent="0.3"/>
  <cols>
    <col min="3" max="3" width="17.88671875" customWidth="1"/>
    <col min="4" max="4" width="15.5546875" customWidth="1"/>
    <col min="6" max="6" width="9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3">
        <v>74270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</row>
    <row r="3" spans="1:8" x14ac:dyDescent="0.3">
      <c r="A3" s="3">
        <v>529746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 t="s">
        <v>11</v>
      </c>
      <c r="H3" t="s">
        <v>14</v>
      </c>
    </row>
    <row r="4" spans="1:8" x14ac:dyDescent="0.3">
      <c r="A4" s="3">
        <v>166444</v>
      </c>
      <c r="B4" t="s">
        <v>9</v>
      </c>
      <c r="C4" t="s">
        <v>18</v>
      </c>
      <c r="D4" t="s">
        <v>19</v>
      </c>
      <c r="E4" t="s">
        <v>14</v>
      </c>
      <c r="F4" t="s">
        <v>20</v>
      </c>
      <c r="G4" t="s">
        <v>19</v>
      </c>
      <c r="H4" t="s">
        <v>19</v>
      </c>
    </row>
    <row r="5" spans="1:8" x14ac:dyDescent="0.3">
      <c r="A5" s="3">
        <v>59514</v>
      </c>
      <c r="B5" t="s">
        <v>9</v>
      </c>
      <c r="C5" t="s">
        <v>21</v>
      </c>
      <c r="D5" t="s">
        <v>11</v>
      </c>
      <c r="E5" t="s">
        <v>22</v>
      </c>
      <c r="F5" t="s">
        <v>23</v>
      </c>
      <c r="G5" t="s">
        <v>11</v>
      </c>
      <c r="H5" t="s">
        <v>14</v>
      </c>
    </row>
    <row r="6" spans="1:8" x14ac:dyDescent="0.3">
      <c r="A6" s="3">
        <v>154120</v>
      </c>
      <c r="B6" t="s">
        <v>9</v>
      </c>
      <c r="C6" t="s">
        <v>24</v>
      </c>
      <c r="D6" t="s">
        <v>11</v>
      </c>
      <c r="E6" t="s">
        <v>25</v>
      </c>
      <c r="F6" t="s">
        <v>26</v>
      </c>
      <c r="G6" t="s">
        <v>11</v>
      </c>
      <c r="H6" t="s">
        <v>27</v>
      </c>
    </row>
    <row r="7" spans="1:8" x14ac:dyDescent="0.3">
      <c r="A7" s="3">
        <v>462468</v>
      </c>
      <c r="B7" t="s">
        <v>9</v>
      </c>
      <c r="C7" t="s">
        <v>28</v>
      </c>
      <c r="D7" t="s">
        <v>11</v>
      </c>
      <c r="E7" t="s">
        <v>29</v>
      </c>
      <c r="F7" t="s">
        <v>30</v>
      </c>
      <c r="G7" t="s">
        <v>11</v>
      </c>
      <c r="H7" t="s">
        <v>31</v>
      </c>
    </row>
    <row r="8" spans="1:8" x14ac:dyDescent="0.3">
      <c r="A8" s="3">
        <v>59665</v>
      </c>
      <c r="B8" t="s">
        <v>32</v>
      </c>
      <c r="C8" t="s">
        <v>33</v>
      </c>
      <c r="D8" t="s">
        <v>11</v>
      </c>
      <c r="E8" t="s">
        <v>23</v>
      </c>
      <c r="F8" t="s">
        <v>34</v>
      </c>
      <c r="G8" t="s">
        <v>11</v>
      </c>
      <c r="H8" t="s">
        <v>35</v>
      </c>
    </row>
    <row r="9" spans="1:8" x14ac:dyDescent="0.3">
      <c r="A9" s="3">
        <v>79569</v>
      </c>
      <c r="B9" t="s">
        <v>32</v>
      </c>
      <c r="C9" t="s">
        <v>36</v>
      </c>
      <c r="D9" t="s">
        <v>11</v>
      </c>
      <c r="E9" t="s">
        <v>37</v>
      </c>
      <c r="F9" t="s">
        <v>38</v>
      </c>
      <c r="G9" t="s">
        <v>11</v>
      </c>
      <c r="H9" t="s">
        <v>19</v>
      </c>
    </row>
    <row r="10" spans="1:8" x14ac:dyDescent="0.3">
      <c r="A10" s="3">
        <v>487690</v>
      </c>
      <c r="B10" t="s">
        <v>32</v>
      </c>
      <c r="C10" t="s">
        <v>39</v>
      </c>
      <c r="D10" t="s">
        <v>11</v>
      </c>
      <c r="E10" t="s">
        <v>40</v>
      </c>
      <c r="F10" t="s">
        <v>41</v>
      </c>
      <c r="G10" t="s">
        <v>11</v>
      </c>
      <c r="H10" t="s">
        <v>14</v>
      </c>
    </row>
    <row r="11" spans="1:8" x14ac:dyDescent="0.3">
      <c r="A11" s="3">
        <v>467866</v>
      </c>
      <c r="B11" t="s">
        <v>32</v>
      </c>
      <c r="C11" t="s">
        <v>42</v>
      </c>
      <c r="D11" t="s">
        <v>11</v>
      </c>
      <c r="E11" t="s">
        <v>43</v>
      </c>
      <c r="F11" t="s">
        <v>44</v>
      </c>
      <c r="G11" t="s">
        <v>11</v>
      </c>
      <c r="H11" t="s">
        <v>19</v>
      </c>
    </row>
    <row r="12" spans="1:8" x14ac:dyDescent="0.3">
      <c r="A12" s="3">
        <v>75533</v>
      </c>
      <c r="B12" t="s">
        <v>32</v>
      </c>
      <c r="C12" t="s">
        <v>45</v>
      </c>
      <c r="D12" t="s">
        <v>11</v>
      </c>
      <c r="E12" t="s">
        <v>46</v>
      </c>
      <c r="F12" t="s">
        <v>47</v>
      </c>
      <c r="G12" t="s">
        <v>11</v>
      </c>
      <c r="H12" t="s">
        <v>19</v>
      </c>
    </row>
    <row r="13" spans="1:8" x14ac:dyDescent="0.3">
      <c r="A13" s="3">
        <v>64252</v>
      </c>
      <c r="B13" t="s">
        <v>32</v>
      </c>
      <c r="C13" t="s">
        <v>48</v>
      </c>
      <c r="D13" t="s">
        <v>11</v>
      </c>
      <c r="E13" t="s">
        <v>49</v>
      </c>
      <c r="F13" t="s">
        <v>50</v>
      </c>
      <c r="G13" t="s">
        <v>11</v>
      </c>
      <c r="H13" t="s">
        <v>16</v>
      </c>
    </row>
    <row r="14" spans="1:8" x14ac:dyDescent="0.3">
      <c r="A14" s="3">
        <v>486600</v>
      </c>
      <c r="B14" t="s">
        <v>32</v>
      </c>
      <c r="C14" t="s">
        <v>51</v>
      </c>
      <c r="D14" t="s">
        <v>11</v>
      </c>
      <c r="E14" t="s">
        <v>40</v>
      </c>
      <c r="F14" t="s">
        <v>52</v>
      </c>
      <c r="G14" t="s">
        <v>11</v>
      </c>
      <c r="H14" t="s">
        <v>14</v>
      </c>
    </row>
    <row r="15" spans="1:8" x14ac:dyDescent="0.3">
      <c r="A15" s="3">
        <v>58996</v>
      </c>
      <c r="B15" t="s">
        <v>32</v>
      </c>
      <c r="C15" t="s">
        <v>53</v>
      </c>
      <c r="D15" t="s">
        <v>11</v>
      </c>
      <c r="E15" t="s">
        <v>54</v>
      </c>
      <c r="F15" t="s">
        <v>55</v>
      </c>
      <c r="G15" t="s">
        <v>11</v>
      </c>
      <c r="H15" t="s">
        <v>14</v>
      </c>
    </row>
    <row r="16" spans="1:8" x14ac:dyDescent="0.3">
      <c r="A16" s="3">
        <v>42383</v>
      </c>
      <c r="B16" t="s">
        <v>32</v>
      </c>
      <c r="C16" t="s">
        <v>56</v>
      </c>
      <c r="D16" t="s">
        <v>11</v>
      </c>
      <c r="E16" t="s">
        <v>16</v>
      </c>
      <c r="F16" t="s">
        <v>57</v>
      </c>
      <c r="G16" t="s">
        <v>11</v>
      </c>
      <c r="H16" t="s">
        <v>19</v>
      </c>
    </row>
    <row r="17" spans="1:8" x14ac:dyDescent="0.3">
      <c r="A17" s="3">
        <v>486394</v>
      </c>
      <c r="B17" t="s">
        <v>32</v>
      </c>
      <c r="C17" t="s">
        <v>58</v>
      </c>
      <c r="D17" t="s">
        <v>11</v>
      </c>
      <c r="E17" t="s">
        <v>14</v>
      </c>
      <c r="F17" t="s">
        <v>59</v>
      </c>
      <c r="G17" t="s">
        <v>11</v>
      </c>
      <c r="H17" t="s">
        <v>19</v>
      </c>
    </row>
    <row r="18" spans="1:8" x14ac:dyDescent="0.3">
      <c r="A18" s="3">
        <v>45843</v>
      </c>
      <c r="B18" t="s">
        <v>60</v>
      </c>
      <c r="C18" t="s">
        <v>61</v>
      </c>
      <c r="D18" t="s">
        <v>11</v>
      </c>
      <c r="E18" t="s">
        <v>54</v>
      </c>
      <c r="F18" t="s">
        <v>62</v>
      </c>
      <c r="G18" t="s">
        <v>11</v>
      </c>
      <c r="H18" t="s">
        <v>19</v>
      </c>
    </row>
    <row r="19" spans="1:8" x14ac:dyDescent="0.3">
      <c r="A19" s="3">
        <v>457546</v>
      </c>
      <c r="B19" t="s">
        <v>60</v>
      </c>
      <c r="C19" t="s">
        <v>63</v>
      </c>
      <c r="D19" t="s">
        <v>11</v>
      </c>
      <c r="E19" t="s">
        <v>64</v>
      </c>
      <c r="F19" t="s">
        <v>65</v>
      </c>
      <c r="G19" t="s">
        <v>11</v>
      </c>
      <c r="H19" t="s">
        <v>19</v>
      </c>
    </row>
    <row r="20" spans="1:8" x14ac:dyDescent="0.3">
      <c r="A20" s="3">
        <v>489811</v>
      </c>
      <c r="B20" t="s">
        <v>60</v>
      </c>
      <c r="C20" t="s">
        <v>66</v>
      </c>
      <c r="D20" t="s">
        <v>11</v>
      </c>
      <c r="E20" t="s">
        <v>54</v>
      </c>
      <c r="F20" t="s">
        <v>67</v>
      </c>
      <c r="G20" t="s">
        <v>11</v>
      </c>
      <c r="H20" t="s">
        <v>19</v>
      </c>
    </row>
    <row r="21" spans="1:8" x14ac:dyDescent="0.3">
      <c r="A21" s="3">
        <v>68801</v>
      </c>
      <c r="B21" t="s">
        <v>60</v>
      </c>
      <c r="C21" t="s">
        <v>68</v>
      </c>
      <c r="D21" t="s">
        <v>11</v>
      </c>
      <c r="E21" t="s">
        <v>69</v>
      </c>
      <c r="F21" t="s">
        <v>70</v>
      </c>
      <c r="G21" t="s">
        <v>11</v>
      </c>
      <c r="H21" t="s">
        <v>14</v>
      </c>
    </row>
    <row r="22" spans="1:8" x14ac:dyDescent="0.3">
      <c r="A22" s="3">
        <v>155959</v>
      </c>
      <c r="B22" t="s">
        <v>60</v>
      </c>
      <c r="C22" t="s">
        <v>71</v>
      </c>
      <c r="D22" t="s">
        <v>11</v>
      </c>
      <c r="E22" t="s">
        <v>72</v>
      </c>
      <c r="F22" t="s">
        <v>73</v>
      </c>
      <c r="G22" t="s">
        <v>11</v>
      </c>
      <c r="H22" t="s">
        <v>74</v>
      </c>
    </row>
    <row r="23" spans="1:8" x14ac:dyDescent="0.3">
      <c r="A23" s="3">
        <v>454350</v>
      </c>
      <c r="B23" t="s">
        <v>60</v>
      </c>
      <c r="C23" t="s">
        <v>75</v>
      </c>
      <c r="D23" t="s">
        <v>11</v>
      </c>
      <c r="E23" t="s">
        <v>40</v>
      </c>
      <c r="F23" t="s">
        <v>76</v>
      </c>
      <c r="G23" t="s">
        <v>11</v>
      </c>
      <c r="H23" t="s">
        <v>19</v>
      </c>
    </row>
    <row r="24" spans="1:8" x14ac:dyDescent="0.3">
      <c r="A24" s="3">
        <v>62502</v>
      </c>
      <c r="B24" t="s">
        <v>60</v>
      </c>
      <c r="C24" t="s">
        <v>77</v>
      </c>
      <c r="D24" t="s">
        <v>11</v>
      </c>
      <c r="E24" t="s">
        <v>78</v>
      </c>
      <c r="F24" t="s">
        <v>79</v>
      </c>
      <c r="G24" t="s">
        <v>19</v>
      </c>
      <c r="H24" t="s">
        <v>16</v>
      </c>
    </row>
    <row r="25" spans="1:8" x14ac:dyDescent="0.3">
      <c r="A25" s="3">
        <v>73119</v>
      </c>
      <c r="B25" t="s">
        <v>60</v>
      </c>
      <c r="C25" t="s">
        <v>80</v>
      </c>
      <c r="D25" t="s">
        <v>11</v>
      </c>
      <c r="E25" t="s">
        <v>19</v>
      </c>
      <c r="F25" t="s">
        <v>81</v>
      </c>
      <c r="G25" t="s">
        <v>11</v>
      </c>
      <c r="H25" t="s">
        <v>19</v>
      </c>
    </row>
    <row r="26" spans="1:8" x14ac:dyDescent="0.3">
      <c r="A26" s="3">
        <v>146314</v>
      </c>
      <c r="B26" t="s">
        <v>60</v>
      </c>
      <c r="C26" t="s">
        <v>82</v>
      </c>
      <c r="D26" t="s">
        <v>11</v>
      </c>
      <c r="E26" t="s">
        <v>43</v>
      </c>
      <c r="F26" t="s">
        <v>83</v>
      </c>
      <c r="G26" t="s">
        <v>11</v>
      </c>
      <c r="H26" t="s">
        <v>19</v>
      </c>
    </row>
    <row r="27" spans="1:8" x14ac:dyDescent="0.3">
      <c r="A27" s="3">
        <v>155389</v>
      </c>
      <c r="B27" t="s">
        <v>60</v>
      </c>
      <c r="C27" t="s">
        <v>84</v>
      </c>
      <c r="D27" t="s">
        <v>11</v>
      </c>
      <c r="E27" t="s">
        <v>85</v>
      </c>
      <c r="F27" t="s">
        <v>86</v>
      </c>
      <c r="G27" t="s">
        <v>11</v>
      </c>
      <c r="H27" t="s">
        <v>27</v>
      </c>
    </row>
    <row r="28" spans="1:8" x14ac:dyDescent="0.3">
      <c r="A28" s="3">
        <v>486365</v>
      </c>
      <c r="B28" t="s">
        <v>87</v>
      </c>
      <c r="C28" t="s">
        <v>88</v>
      </c>
      <c r="D28" t="s">
        <v>11</v>
      </c>
      <c r="E28" t="s">
        <v>89</v>
      </c>
      <c r="F28" t="s">
        <v>90</v>
      </c>
      <c r="G28" t="s">
        <v>11</v>
      </c>
      <c r="H28" t="s">
        <v>37</v>
      </c>
    </row>
    <row r="29" spans="1:8" x14ac:dyDescent="0.3">
      <c r="A29" s="3">
        <v>443762</v>
      </c>
      <c r="B29" t="s">
        <v>87</v>
      </c>
      <c r="C29" t="s">
        <v>91</v>
      </c>
      <c r="D29" t="s">
        <v>11</v>
      </c>
      <c r="E29" t="s">
        <v>19</v>
      </c>
      <c r="F29" t="s">
        <v>92</v>
      </c>
      <c r="G29" t="s">
        <v>11</v>
      </c>
      <c r="H29" t="s">
        <v>11</v>
      </c>
    </row>
    <row r="30" spans="1:8" x14ac:dyDescent="0.3">
      <c r="A30" s="3">
        <v>148129</v>
      </c>
      <c r="B30" t="s">
        <v>87</v>
      </c>
      <c r="C30" t="s">
        <v>93</v>
      </c>
      <c r="D30" t="s">
        <v>11</v>
      </c>
      <c r="E30" t="s">
        <v>94</v>
      </c>
      <c r="F30" t="s">
        <v>95</v>
      </c>
      <c r="G30" t="s">
        <v>11</v>
      </c>
      <c r="H30" t="s">
        <v>19</v>
      </c>
    </row>
    <row r="31" spans="1:8" x14ac:dyDescent="0.3">
      <c r="A31" s="3">
        <v>87499</v>
      </c>
      <c r="B31" t="s">
        <v>87</v>
      </c>
      <c r="C31" t="s">
        <v>96</v>
      </c>
      <c r="D31" t="s">
        <v>19</v>
      </c>
      <c r="E31" t="s">
        <v>97</v>
      </c>
      <c r="F31" t="s">
        <v>98</v>
      </c>
      <c r="G31" t="s">
        <v>19</v>
      </c>
      <c r="H31" t="s">
        <v>99</v>
      </c>
    </row>
    <row r="32" spans="1:8" x14ac:dyDescent="0.3">
      <c r="A32" s="3">
        <v>822852</v>
      </c>
      <c r="B32" t="s">
        <v>87</v>
      </c>
      <c r="C32" t="s">
        <v>100</v>
      </c>
      <c r="D32" t="s">
        <v>11</v>
      </c>
      <c r="E32" t="s">
        <v>74</v>
      </c>
      <c r="F32" t="s">
        <v>101</v>
      </c>
      <c r="G32" t="s">
        <v>11</v>
      </c>
      <c r="H32" t="s">
        <v>19</v>
      </c>
    </row>
    <row r="33" spans="1:8" x14ac:dyDescent="0.3">
      <c r="A33" s="3">
        <v>488897</v>
      </c>
      <c r="B33" t="s">
        <v>87</v>
      </c>
      <c r="C33" t="s">
        <v>102</v>
      </c>
      <c r="D33" t="s">
        <v>19</v>
      </c>
      <c r="E33" t="s">
        <v>103</v>
      </c>
      <c r="F33" t="s">
        <v>104</v>
      </c>
      <c r="G33" t="s">
        <v>19</v>
      </c>
      <c r="H33" t="s">
        <v>105</v>
      </c>
    </row>
    <row r="34" spans="1:8" x14ac:dyDescent="0.3">
      <c r="A34" s="3">
        <v>79357</v>
      </c>
      <c r="B34" t="s">
        <v>87</v>
      </c>
      <c r="C34" t="s">
        <v>106</v>
      </c>
      <c r="D34" t="s">
        <v>11</v>
      </c>
      <c r="E34" t="s">
        <v>107</v>
      </c>
      <c r="F34" t="s">
        <v>108</v>
      </c>
      <c r="G34" t="s">
        <v>11</v>
      </c>
      <c r="H34" t="s">
        <v>14</v>
      </c>
    </row>
    <row r="35" spans="1:8" x14ac:dyDescent="0.3">
      <c r="A35" s="3">
        <v>76504</v>
      </c>
      <c r="B35" t="s">
        <v>87</v>
      </c>
      <c r="C35" t="s">
        <v>109</v>
      </c>
      <c r="D35" t="s">
        <v>11</v>
      </c>
      <c r="E35" t="s">
        <v>46</v>
      </c>
      <c r="F35" t="s">
        <v>110</v>
      </c>
      <c r="G35" t="s">
        <v>11</v>
      </c>
      <c r="H35" t="s">
        <v>19</v>
      </c>
    </row>
    <row r="36" spans="1:8" x14ac:dyDescent="0.3">
      <c r="A36" s="3">
        <v>166076</v>
      </c>
      <c r="B36" t="s">
        <v>87</v>
      </c>
      <c r="C36" t="s">
        <v>111</v>
      </c>
      <c r="D36" t="s">
        <v>11</v>
      </c>
      <c r="E36" t="s">
        <v>85</v>
      </c>
      <c r="F36" t="s">
        <v>112</v>
      </c>
      <c r="G36" t="s">
        <v>11</v>
      </c>
      <c r="H36" t="s">
        <v>27</v>
      </c>
    </row>
    <row r="37" spans="1:8" x14ac:dyDescent="0.3">
      <c r="A37" s="3">
        <v>514245</v>
      </c>
      <c r="B37" t="s">
        <v>87</v>
      </c>
      <c r="C37" t="s">
        <v>113</v>
      </c>
      <c r="D37" t="s">
        <v>11</v>
      </c>
      <c r="E37" t="s">
        <v>114</v>
      </c>
      <c r="F37" t="s">
        <v>115</v>
      </c>
      <c r="G37" t="s">
        <v>11</v>
      </c>
      <c r="H37" t="s">
        <v>37</v>
      </c>
    </row>
    <row r="38" spans="1:8" x14ac:dyDescent="0.3">
      <c r="A38" s="3">
        <v>461685</v>
      </c>
      <c r="B38" t="s">
        <v>116</v>
      </c>
      <c r="C38" t="s">
        <v>117</v>
      </c>
      <c r="D38" t="s">
        <v>11</v>
      </c>
      <c r="E38" t="s">
        <v>118</v>
      </c>
      <c r="F38" t="s">
        <v>119</v>
      </c>
      <c r="G38" t="s">
        <v>11</v>
      </c>
      <c r="H38" t="s">
        <v>14</v>
      </c>
    </row>
    <row r="39" spans="1:8" x14ac:dyDescent="0.3">
      <c r="A39" s="3">
        <v>149652</v>
      </c>
      <c r="B39" t="s">
        <v>116</v>
      </c>
      <c r="C39" t="s">
        <v>120</v>
      </c>
      <c r="D39" t="s">
        <v>11</v>
      </c>
      <c r="E39" t="s">
        <v>121</v>
      </c>
      <c r="F39" t="s">
        <v>122</v>
      </c>
      <c r="G39" t="s">
        <v>11</v>
      </c>
      <c r="H39" t="s">
        <v>35</v>
      </c>
    </row>
    <row r="40" spans="1:8" x14ac:dyDescent="0.3">
      <c r="A40" s="3">
        <v>62583</v>
      </c>
      <c r="B40" t="s">
        <v>116</v>
      </c>
      <c r="C40" t="s">
        <v>123</v>
      </c>
      <c r="D40" t="s">
        <v>11</v>
      </c>
      <c r="E40" t="s">
        <v>64</v>
      </c>
      <c r="F40" t="s">
        <v>124</v>
      </c>
      <c r="G40" t="s">
        <v>11</v>
      </c>
      <c r="H40" t="s">
        <v>19</v>
      </c>
    </row>
    <row r="41" spans="1:8" x14ac:dyDescent="0.3">
      <c r="A41" s="3">
        <v>58166</v>
      </c>
      <c r="B41" t="s">
        <v>116</v>
      </c>
      <c r="C41" t="s">
        <v>125</v>
      </c>
      <c r="D41" t="s">
        <v>11</v>
      </c>
      <c r="E41" t="s">
        <v>46</v>
      </c>
      <c r="F41" t="s">
        <v>126</v>
      </c>
      <c r="G41" t="s">
        <v>11</v>
      </c>
      <c r="H41" t="s">
        <v>19</v>
      </c>
    </row>
    <row r="42" spans="1:8" x14ac:dyDescent="0.3">
      <c r="A42" s="3">
        <v>72855</v>
      </c>
      <c r="B42" t="s">
        <v>116</v>
      </c>
      <c r="C42" t="s">
        <v>127</v>
      </c>
      <c r="D42" t="s">
        <v>19</v>
      </c>
      <c r="E42" t="s">
        <v>37</v>
      </c>
      <c r="F42" t="s">
        <v>128</v>
      </c>
      <c r="G42" t="s">
        <v>19</v>
      </c>
      <c r="H42" t="s">
        <v>19</v>
      </c>
    </row>
    <row r="43" spans="1:8" x14ac:dyDescent="0.3">
      <c r="A43" s="3">
        <v>149954</v>
      </c>
      <c r="B43" t="s">
        <v>116</v>
      </c>
      <c r="C43" t="s">
        <v>129</v>
      </c>
      <c r="D43" t="s">
        <v>11</v>
      </c>
      <c r="E43" t="s">
        <v>130</v>
      </c>
      <c r="F43" t="s">
        <v>131</v>
      </c>
      <c r="G43" t="s">
        <v>11</v>
      </c>
      <c r="H43" t="s">
        <v>27</v>
      </c>
    </row>
    <row r="44" spans="1:8" x14ac:dyDescent="0.3">
      <c r="A44" s="3">
        <v>1924</v>
      </c>
      <c r="B44" t="s">
        <v>116</v>
      </c>
      <c r="C44" t="s">
        <v>132</v>
      </c>
      <c r="D44" t="s">
        <v>11</v>
      </c>
      <c r="E44" t="s">
        <v>85</v>
      </c>
      <c r="F44" t="s">
        <v>133</v>
      </c>
      <c r="G44" t="s">
        <v>11</v>
      </c>
      <c r="H44" t="s">
        <v>27</v>
      </c>
    </row>
    <row r="45" spans="1:8" x14ac:dyDescent="0.3">
      <c r="A45" s="3">
        <v>63530</v>
      </c>
      <c r="B45" t="s">
        <v>116</v>
      </c>
      <c r="C45" t="s">
        <v>134</v>
      </c>
      <c r="D45" t="s">
        <v>11</v>
      </c>
      <c r="E45" t="s">
        <v>135</v>
      </c>
      <c r="F45" t="s">
        <v>136</v>
      </c>
      <c r="G45" t="s">
        <v>11</v>
      </c>
      <c r="H45" t="s">
        <v>16</v>
      </c>
    </row>
    <row r="46" spans="1:8" x14ac:dyDescent="0.3">
      <c r="A46" s="3">
        <v>485832</v>
      </c>
      <c r="B46" t="s">
        <v>137</v>
      </c>
      <c r="C46" t="s">
        <v>138</v>
      </c>
      <c r="D46" t="s">
        <v>19</v>
      </c>
      <c r="E46" t="s">
        <v>139</v>
      </c>
      <c r="F46" t="s">
        <v>140</v>
      </c>
      <c r="G46" t="s">
        <v>19</v>
      </c>
      <c r="H46" t="s">
        <v>37</v>
      </c>
    </row>
    <row r="47" spans="1:8" x14ac:dyDescent="0.3">
      <c r="A47" s="3">
        <v>72643</v>
      </c>
      <c r="B47" t="s">
        <v>137</v>
      </c>
      <c r="C47" t="s">
        <v>141</v>
      </c>
      <c r="D47" t="s">
        <v>11</v>
      </c>
      <c r="E47" t="s">
        <v>142</v>
      </c>
      <c r="F47" t="s">
        <v>143</v>
      </c>
      <c r="G47" t="s">
        <v>11</v>
      </c>
      <c r="H47" t="s">
        <v>16</v>
      </c>
    </row>
    <row r="48" spans="1:8" x14ac:dyDescent="0.3">
      <c r="A48" s="3">
        <v>73280</v>
      </c>
      <c r="B48" t="s">
        <v>137</v>
      </c>
      <c r="C48" t="s">
        <v>144</v>
      </c>
      <c r="D48" t="s">
        <v>11</v>
      </c>
      <c r="E48" t="s">
        <v>54</v>
      </c>
      <c r="F48" t="s">
        <v>145</v>
      </c>
      <c r="G48" t="s">
        <v>11</v>
      </c>
      <c r="H48" t="s">
        <v>14</v>
      </c>
    </row>
    <row r="49" spans="1:8" x14ac:dyDescent="0.3">
      <c r="A49" s="3">
        <v>60386</v>
      </c>
      <c r="B49" t="s">
        <v>137</v>
      </c>
      <c r="C49" t="s">
        <v>146</v>
      </c>
      <c r="D49" t="s">
        <v>11</v>
      </c>
      <c r="E49" t="s">
        <v>147</v>
      </c>
      <c r="F49" t="s">
        <v>148</v>
      </c>
      <c r="G49" t="s">
        <v>11</v>
      </c>
      <c r="H49" t="s">
        <v>16</v>
      </c>
    </row>
    <row r="50" spans="1:8" x14ac:dyDescent="0.3">
      <c r="A50" s="3">
        <v>550417</v>
      </c>
      <c r="B50" t="s">
        <v>137</v>
      </c>
      <c r="C50" t="s">
        <v>149</v>
      </c>
      <c r="D50" t="s">
        <v>11</v>
      </c>
      <c r="E50" t="s">
        <v>78</v>
      </c>
      <c r="F50" t="s">
        <v>150</v>
      </c>
      <c r="G50" t="s">
        <v>11</v>
      </c>
      <c r="H50" t="s">
        <v>74</v>
      </c>
    </row>
    <row r="51" spans="1:8" x14ac:dyDescent="0.3">
      <c r="A51" s="3">
        <v>169980</v>
      </c>
      <c r="B51" t="s">
        <v>137</v>
      </c>
      <c r="C51" t="s">
        <v>151</v>
      </c>
      <c r="D51" t="s">
        <v>11</v>
      </c>
      <c r="E51" t="s">
        <v>152</v>
      </c>
      <c r="F51" t="s">
        <v>153</v>
      </c>
      <c r="G51" t="s">
        <v>11</v>
      </c>
      <c r="H51" t="s">
        <v>37</v>
      </c>
    </row>
    <row r="52" spans="1:8" x14ac:dyDescent="0.3">
      <c r="A52" s="3">
        <v>60225</v>
      </c>
      <c r="B52" t="s">
        <v>137</v>
      </c>
      <c r="C52" t="s">
        <v>154</v>
      </c>
      <c r="D52" t="s">
        <v>11</v>
      </c>
      <c r="E52" t="s">
        <v>155</v>
      </c>
      <c r="F52" t="s">
        <v>156</v>
      </c>
      <c r="G52" t="s">
        <v>11</v>
      </c>
      <c r="H52" t="s">
        <v>35</v>
      </c>
    </row>
    <row r="53" spans="1:8" x14ac:dyDescent="0.3">
      <c r="A53" s="3">
        <v>62465</v>
      </c>
      <c r="B53" t="s">
        <v>137</v>
      </c>
      <c r="C53" t="s">
        <v>157</v>
      </c>
      <c r="D53" t="s">
        <v>11</v>
      </c>
      <c r="E53" t="s">
        <v>130</v>
      </c>
      <c r="F53" t="s">
        <v>158</v>
      </c>
      <c r="G53" t="s">
        <v>11</v>
      </c>
      <c r="H53" t="s">
        <v>14</v>
      </c>
    </row>
    <row r="54" spans="1:8" x14ac:dyDescent="0.3">
      <c r="A54" s="3">
        <v>62861</v>
      </c>
      <c r="B54" t="s">
        <v>137</v>
      </c>
      <c r="C54" t="s">
        <v>159</v>
      </c>
      <c r="D54" t="s">
        <v>11</v>
      </c>
      <c r="E54" t="s">
        <v>40</v>
      </c>
      <c r="F54" t="s">
        <v>160</v>
      </c>
      <c r="G54" t="s">
        <v>11</v>
      </c>
      <c r="H54" t="s">
        <v>14</v>
      </c>
    </row>
    <row r="55" spans="1:8" x14ac:dyDescent="0.3">
      <c r="A55" s="3">
        <v>468187</v>
      </c>
      <c r="B55" t="s">
        <v>137</v>
      </c>
      <c r="C55" t="s">
        <v>161</v>
      </c>
      <c r="D55" t="s">
        <v>11</v>
      </c>
      <c r="E55" t="s">
        <v>99</v>
      </c>
      <c r="F55" t="s">
        <v>162</v>
      </c>
      <c r="G55" t="s">
        <v>11</v>
      </c>
      <c r="H55" t="s">
        <v>19</v>
      </c>
    </row>
    <row r="56" spans="1:8" x14ac:dyDescent="0.3">
      <c r="A56" s="3">
        <v>538816</v>
      </c>
      <c r="B56" t="s">
        <v>163</v>
      </c>
      <c r="C56" t="s">
        <v>164</v>
      </c>
      <c r="D56" t="s">
        <v>11</v>
      </c>
      <c r="E56" t="s">
        <v>31</v>
      </c>
      <c r="F56" t="s">
        <v>57</v>
      </c>
      <c r="G56" t="s">
        <v>11</v>
      </c>
      <c r="H56" t="s">
        <v>14</v>
      </c>
    </row>
    <row r="57" spans="1:8" x14ac:dyDescent="0.3">
      <c r="A57" s="3">
        <v>169428</v>
      </c>
      <c r="B57" t="s">
        <v>163</v>
      </c>
      <c r="C57" t="s">
        <v>165</v>
      </c>
      <c r="D57" t="s">
        <v>11</v>
      </c>
      <c r="E57" t="s">
        <v>16</v>
      </c>
      <c r="F57" t="s">
        <v>166</v>
      </c>
      <c r="G57" t="s">
        <v>11</v>
      </c>
      <c r="H57" t="s">
        <v>19</v>
      </c>
    </row>
    <row r="58" spans="1:8" x14ac:dyDescent="0.3">
      <c r="A58" s="3">
        <v>458857</v>
      </c>
      <c r="B58" t="s">
        <v>163</v>
      </c>
      <c r="C58" t="s">
        <v>167</v>
      </c>
      <c r="D58" t="s">
        <v>11</v>
      </c>
      <c r="E58" t="s">
        <v>78</v>
      </c>
      <c r="F58" t="s">
        <v>168</v>
      </c>
      <c r="G58" t="s">
        <v>19</v>
      </c>
      <c r="H58" t="s">
        <v>16</v>
      </c>
    </row>
    <row r="59" spans="1:8" x14ac:dyDescent="0.3">
      <c r="A59" s="3">
        <v>65572</v>
      </c>
      <c r="B59" t="s">
        <v>163</v>
      </c>
      <c r="C59" t="s">
        <v>169</v>
      </c>
      <c r="D59" t="s">
        <v>11</v>
      </c>
      <c r="E59" t="s">
        <v>170</v>
      </c>
      <c r="F59" t="s">
        <v>171</v>
      </c>
      <c r="G59" t="s">
        <v>11</v>
      </c>
      <c r="H59" t="s">
        <v>27</v>
      </c>
    </row>
    <row r="60" spans="1:8" x14ac:dyDescent="0.3">
      <c r="A60" s="3">
        <v>59769</v>
      </c>
      <c r="B60" t="s">
        <v>163</v>
      </c>
      <c r="C60" t="s">
        <v>172</v>
      </c>
      <c r="D60" t="s">
        <v>19</v>
      </c>
      <c r="E60" t="s">
        <v>14</v>
      </c>
      <c r="F60" t="s">
        <v>173</v>
      </c>
      <c r="G60" t="s">
        <v>19</v>
      </c>
      <c r="H60" t="s">
        <v>19</v>
      </c>
    </row>
    <row r="61" spans="1:8" x14ac:dyDescent="0.3">
      <c r="A61" s="3">
        <v>55356</v>
      </c>
      <c r="B61" t="s">
        <v>163</v>
      </c>
      <c r="C61" t="s">
        <v>174</v>
      </c>
      <c r="D61" t="s">
        <v>11</v>
      </c>
      <c r="E61" t="s">
        <v>121</v>
      </c>
      <c r="F61" t="s">
        <v>18</v>
      </c>
      <c r="G61" t="s">
        <v>11</v>
      </c>
      <c r="H61" t="s">
        <v>74</v>
      </c>
    </row>
    <row r="62" spans="1:8" x14ac:dyDescent="0.3">
      <c r="A62" s="3">
        <v>463590</v>
      </c>
      <c r="B62" t="s">
        <v>163</v>
      </c>
      <c r="C62" t="s">
        <v>175</v>
      </c>
      <c r="D62" t="s">
        <v>19</v>
      </c>
      <c r="E62" t="s">
        <v>176</v>
      </c>
      <c r="F62" t="s">
        <v>177</v>
      </c>
      <c r="G62" t="s">
        <v>19</v>
      </c>
      <c r="H62" t="s">
        <v>178</v>
      </c>
    </row>
    <row r="63" spans="1:8" x14ac:dyDescent="0.3">
      <c r="A63" s="3">
        <v>61300</v>
      </c>
      <c r="B63" t="s">
        <v>163</v>
      </c>
      <c r="C63" t="s">
        <v>179</v>
      </c>
      <c r="D63" t="s">
        <v>19</v>
      </c>
      <c r="E63" t="s">
        <v>12</v>
      </c>
      <c r="F63" t="s">
        <v>180</v>
      </c>
      <c r="G63" t="s">
        <v>19</v>
      </c>
      <c r="H63" t="s">
        <v>35</v>
      </c>
    </row>
    <row r="64" spans="1:8" x14ac:dyDescent="0.3">
      <c r="A64" s="3">
        <v>42420</v>
      </c>
      <c r="B64" t="s">
        <v>163</v>
      </c>
      <c r="C64" t="s">
        <v>181</v>
      </c>
      <c r="D64" t="s">
        <v>11</v>
      </c>
      <c r="E64" t="s">
        <v>182</v>
      </c>
      <c r="F64" t="s">
        <v>183</v>
      </c>
      <c r="G64" t="s">
        <v>11</v>
      </c>
      <c r="H64" t="s">
        <v>105</v>
      </c>
    </row>
    <row r="65" spans="1:8" x14ac:dyDescent="0.3">
      <c r="A65" s="3">
        <v>149261</v>
      </c>
      <c r="B65" t="s">
        <v>163</v>
      </c>
      <c r="C65" t="s">
        <v>184</v>
      </c>
      <c r="D65" t="s">
        <v>19</v>
      </c>
      <c r="E65" t="s">
        <v>89</v>
      </c>
      <c r="F65" t="s">
        <v>185</v>
      </c>
      <c r="G65" t="s">
        <v>19</v>
      </c>
      <c r="H65" t="s">
        <v>27</v>
      </c>
    </row>
    <row r="66" spans="1:8" x14ac:dyDescent="0.3">
      <c r="A66" s="3">
        <v>444115</v>
      </c>
      <c r="B66" t="s">
        <v>186</v>
      </c>
      <c r="C66" t="s">
        <v>187</v>
      </c>
      <c r="D66" t="s">
        <v>11</v>
      </c>
      <c r="E66" t="s">
        <v>74</v>
      </c>
      <c r="F66" t="s">
        <v>188</v>
      </c>
      <c r="G66" t="s">
        <v>11</v>
      </c>
      <c r="H66" t="s">
        <v>19</v>
      </c>
    </row>
    <row r="67" spans="1:8" x14ac:dyDescent="0.3">
      <c r="A67" s="3">
        <v>822753</v>
      </c>
      <c r="B67" t="s">
        <v>186</v>
      </c>
      <c r="C67" t="s">
        <v>189</v>
      </c>
      <c r="D67" t="s">
        <v>11</v>
      </c>
      <c r="E67" t="s">
        <v>135</v>
      </c>
      <c r="F67" t="s">
        <v>190</v>
      </c>
      <c r="G67" t="s">
        <v>11</v>
      </c>
      <c r="H67" t="s">
        <v>46</v>
      </c>
    </row>
    <row r="68" spans="1:8" x14ac:dyDescent="0.3">
      <c r="A68" s="3">
        <v>441414</v>
      </c>
      <c r="B68" t="s">
        <v>186</v>
      </c>
      <c r="C68" t="s">
        <v>191</v>
      </c>
      <c r="D68" t="s">
        <v>11</v>
      </c>
      <c r="E68" t="s">
        <v>152</v>
      </c>
      <c r="F68" t="s">
        <v>192</v>
      </c>
      <c r="G68" t="s">
        <v>11</v>
      </c>
      <c r="H68" t="s">
        <v>14</v>
      </c>
    </row>
    <row r="69" spans="1:8" x14ac:dyDescent="0.3">
      <c r="A69" s="3">
        <v>167684</v>
      </c>
      <c r="B69" t="s">
        <v>186</v>
      </c>
      <c r="C69" t="s">
        <v>193</v>
      </c>
      <c r="D69" t="s">
        <v>19</v>
      </c>
      <c r="E69" t="s">
        <v>89</v>
      </c>
      <c r="F69" t="s">
        <v>194</v>
      </c>
      <c r="G69" t="s">
        <v>19</v>
      </c>
      <c r="H69" t="s">
        <v>27</v>
      </c>
    </row>
    <row r="70" spans="1:8" x14ac:dyDescent="0.3">
      <c r="A70" s="3">
        <v>64916</v>
      </c>
      <c r="B70" t="s">
        <v>186</v>
      </c>
      <c r="C70" t="s">
        <v>195</v>
      </c>
      <c r="D70" t="s">
        <v>19</v>
      </c>
      <c r="E70" t="s">
        <v>99</v>
      </c>
      <c r="F70" t="s">
        <v>196</v>
      </c>
      <c r="G70" t="s">
        <v>19</v>
      </c>
      <c r="H70" t="s">
        <v>14</v>
      </c>
    </row>
    <row r="71" spans="1:8" x14ac:dyDescent="0.3">
      <c r="A71" s="3">
        <v>146286</v>
      </c>
      <c r="B71" t="s">
        <v>186</v>
      </c>
      <c r="C71" t="s">
        <v>197</v>
      </c>
      <c r="D71" t="s">
        <v>11</v>
      </c>
      <c r="E71" t="s">
        <v>27</v>
      </c>
      <c r="F71" t="s">
        <v>198</v>
      </c>
      <c r="G71" t="s">
        <v>11</v>
      </c>
      <c r="H71" t="s">
        <v>14</v>
      </c>
    </row>
    <row r="72" spans="1:8" x14ac:dyDescent="0.3">
      <c r="A72" s="3">
        <v>464014</v>
      </c>
      <c r="B72" t="s">
        <v>186</v>
      </c>
      <c r="C72" t="s">
        <v>199</v>
      </c>
      <c r="D72" t="s">
        <v>11</v>
      </c>
      <c r="E72" t="s">
        <v>200</v>
      </c>
      <c r="F72" t="s">
        <v>201</v>
      </c>
      <c r="G72" t="s">
        <v>11</v>
      </c>
      <c r="H72" t="s">
        <v>69</v>
      </c>
    </row>
    <row r="73" spans="1:8" x14ac:dyDescent="0.3">
      <c r="A73" s="3">
        <v>527375</v>
      </c>
      <c r="B73" t="s">
        <v>186</v>
      </c>
      <c r="C73" t="s">
        <v>202</v>
      </c>
      <c r="D73" t="s">
        <v>19</v>
      </c>
      <c r="E73" t="s">
        <v>178</v>
      </c>
      <c r="F73" t="s">
        <v>203</v>
      </c>
      <c r="G73" t="s">
        <v>19</v>
      </c>
      <c r="H73" t="s">
        <v>64</v>
      </c>
    </row>
    <row r="74" spans="1:8" x14ac:dyDescent="0.3">
      <c r="A74" s="3">
        <v>151305</v>
      </c>
      <c r="B74" t="s">
        <v>186</v>
      </c>
      <c r="C74" t="s">
        <v>204</v>
      </c>
      <c r="D74" t="s">
        <v>11</v>
      </c>
      <c r="E74" t="s">
        <v>114</v>
      </c>
      <c r="F74" t="s">
        <v>205</v>
      </c>
      <c r="G74" t="s">
        <v>11</v>
      </c>
      <c r="H74" t="s">
        <v>37</v>
      </c>
    </row>
    <row r="75" spans="1:8" x14ac:dyDescent="0.3">
      <c r="A75" s="3">
        <v>459164</v>
      </c>
      <c r="B75" t="s">
        <v>186</v>
      </c>
      <c r="C75" t="s">
        <v>206</v>
      </c>
      <c r="D75" t="s">
        <v>11</v>
      </c>
      <c r="E75" t="s">
        <v>130</v>
      </c>
      <c r="F75" t="s">
        <v>207</v>
      </c>
      <c r="G75" t="s">
        <v>11</v>
      </c>
      <c r="H75" t="s">
        <v>14</v>
      </c>
    </row>
    <row r="76" spans="1:8" x14ac:dyDescent="0.3">
      <c r="A76" s="3">
        <v>169150</v>
      </c>
      <c r="B76" t="s">
        <v>208</v>
      </c>
      <c r="C76" t="s">
        <v>209</v>
      </c>
      <c r="D76" t="s">
        <v>11</v>
      </c>
      <c r="E76" t="s">
        <v>210</v>
      </c>
      <c r="F76" t="s">
        <v>211</v>
      </c>
      <c r="G76" t="s">
        <v>11</v>
      </c>
      <c r="H76" t="s">
        <v>43</v>
      </c>
    </row>
    <row r="77" spans="1:8" x14ac:dyDescent="0.3">
      <c r="A77" s="3">
        <v>64054</v>
      </c>
      <c r="B77" t="s">
        <v>208</v>
      </c>
      <c r="C77" t="s">
        <v>212</v>
      </c>
      <c r="D77" t="s">
        <v>11</v>
      </c>
      <c r="E77" t="s">
        <v>43</v>
      </c>
      <c r="F77" t="s">
        <v>213</v>
      </c>
      <c r="G77" t="s">
        <v>11</v>
      </c>
      <c r="H77" t="s">
        <v>14</v>
      </c>
    </row>
    <row r="78" spans="1:8" x14ac:dyDescent="0.3">
      <c r="A78" s="3">
        <v>44645</v>
      </c>
      <c r="B78" t="s">
        <v>208</v>
      </c>
      <c r="C78" t="s">
        <v>214</v>
      </c>
      <c r="D78" t="s">
        <v>11</v>
      </c>
      <c r="E78" t="s">
        <v>215</v>
      </c>
      <c r="F78" t="s">
        <v>216</v>
      </c>
      <c r="G78" t="s">
        <v>11</v>
      </c>
      <c r="H78" t="s">
        <v>16</v>
      </c>
    </row>
    <row r="79" spans="1:8" x14ac:dyDescent="0.3">
      <c r="A79" s="3">
        <v>46890</v>
      </c>
      <c r="B79" t="s">
        <v>208</v>
      </c>
      <c r="C79" t="s">
        <v>217</v>
      </c>
      <c r="D79" t="s">
        <v>11</v>
      </c>
      <c r="E79" t="s">
        <v>218</v>
      </c>
      <c r="F79" t="s">
        <v>219</v>
      </c>
      <c r="G79" t="s">
        <v>11</v>
      </c>
      <c r="H79" t="s">
        <v>69</v>
      </c>
    </row>
    <row r="80" spans="1:8" x14ac:dyDescent="0.3">
      <c r="A80" s="3">
        <v>170281</v>
      </c>
      <c r="B80" t="s">
        <v>208</v>
      </c>
      <c r="C80" t="s">
        <v>220</v>
      </c>
      <c r="D80" t="s">
        <v>11</v>
      </c>
      <c r="E80" t="s">
        <v>221</v>
      </c>
      <c r="F80" t="s">
        <v>222</v>
      </c>
      <c r="G80" t="s">
        <v>11</v>
      </c>
      <c r="H80" t="s">
        <v>99</v>
      </c>
    </row>
    <row r="81" spans="1:8" x14ac:dyDescent="0.3">
      <c r="A81" s="3">
        <v>65510</v>
      </c>
      <c r="B81" t="s">
        <v>208</v>
      </c>
      <c r="C81" t="s">
        <v>223</v>
      </c>
      <c r="D81" t="s">
        <v>11</v>
      </c>
      <c r="E81" t="s">
        <v>12</v>
      </c>
      <c r="F81" t="s">
        <v>224</v>
      </c>
      <c r="G81" t="s">
        <v>11</v>
      </c>
      <c r="H81" t="s">
        <v>37</v>
      </c>
    </row>
    <row r="82" spans="1:8" x14ac:dyDescent="0.3">
      <c r="A82" s="3">
        <v>151598</v>
      </c>
      <c r="B82" t="s">
        <v>208</v>
      </c>
      <c r="C82" t="s">
        <v>225</v>
      </c>
      <c r="D82" t="s">
        <v>11</v>
      </c>
      <c r="E82" t="s">
        <v>226</v>
      </c>
      <c r="F82" t="s">
        <v>227</v>
      </c>
      <c r="G82" t="s">
        <v>11</v>
      </c>
      <c r="H82" t="s">
        <v>35</v>
      </c>
    </row>
    <row r="83" spans="1:8" x14ac:dyDescent="0.3">
      <c r="A83" s="3">
        <v>64983</v>
      </c>
      <c r="B83" t="s">
        <v>208</v>
      </c>
      <c r="C83" t="s">
        <v>228</v>
      </c>
      <c r="D83" t="s">
        <v>11</v>
      </c>
      <c r="E83" t="s">
        <v>229</v>
      </c>
      <c r="F83" t="s">
        <v>230</v>
      </c>
      <c r="G83" t="s">
        <v>11</v>
      </c>
      <c r="H83" t="s">
        <v>27</v>
      </c>
    </row>
    <row r="84" spans="1:8" x14ac:dyDescent="0.3">
      <c r="A84" s="3">
        <v>441329</v>
      </c>
      <c r="B84" t="s">
        <v>208</v>
      </c>
      <c r="C84" t="s">
        <v>231</v>
      </c>
      <c r="D84" t="s">
        <v>11</v>
      </c>
      <c r="E84" t="s">
        <v>105</v>
      </c>
      <c r="F84" t="s">
        <v>232</v>
      </c>
      <c r="G84" t="s">
        <v>11</v>
      </c>
      <c r="H84" t="s">
        <v>14</v>
      </c>
    </row>
    <row r="85" spans="1:8" x14ac:dyDescent="0.3">
      <c r="A85" s="3">
        <v>486426</v>
      </c>
      <c r="B85" t="s">
        <v>208</v>
      </c>
      <c r="C85" t="s">
        <v>233</v>
      </c>
      <c r="D85" t="s">
        <v>11</v>
      </c>
      <c r="E85" t="s">
        <v>11</v>
      </c>
      <c r="F85" t="s">
        <v>234</v>
      </c>
      <c r="G85" t="s">
        <v>11</v>
      </c>
      <c r="H85" t="s">
        <v>11</v>
      </c>
    </row>
    <row r="86" spans="1:8" x14ac:dyDescent="0.3">
      <c r="A86" s="3">
        <v>383193</v>
      </c>
      <c r="B86" t="s">
        <v>235</v>
      </c>
      <c r="C86" t="s">
        <v>236</v>
      </c>
      <c r="D86" t="s">
        <v>19</v>
      </c>
      <c r="E86" t="s">
        <v>114</v>
      </c>
      <c r="F86" t="s">
        <v>237</v>
      </c>
      <c r="G86" t="s">
        <v>19</v>
      </c>
      <c r="H86" t="s">
        <v>37</v>
      </c>
    </row>
    <row r="87" spans="1:8" x14ac:dyDescent="0.3">
      <c r="A87" s="3">
        <v>444035</v>
      </c>
      <c r="B87" t="s">
        <v>235</v>
      </c>
      <c r="C87" t="s">
        <v>238</v>
      </c>
      <c r="D87" t="s">
        <v>11</v>
      </c>
      <c r="E87" t="s">
        <v>239</v>
      </c>
      <c r="F87" t="s">
        <v>240</v>
      </c>
      <c r="G87" t="s">
        <v>11</v>
      </c>
      <c r="H87" t="s">
        <v>69</v>
      </c>
    </row>
    <row r="88" spans="1:8" x14ac:dyDescent="0.3">
      <c r="A88" s="3">
        <v>446708</v>
      </c>
      <c r="B88" t="s">
        <v>235</v>
      </c>
      <c r="C88" t="s">
        <v>241</v>
      </c>
      <c r="D88" t="s">
        <v>19</v>
      </c>
      <c r="E88" t="s">
        <v>242</v>
      </c>
      <c r="F88" t="s">
        <v>243</v>
      </c>
      <c r="G88" t="s">
        <v>19</v>
      </c>
      <c r="H88" t="s">
        <v>178</v>
      </c>
    </row>
    <row r="89" spans="1:8" x14ac:dyDescent="0.3">
      <c r="A89" s="3">
        <v>43245</v>
      </c>
      <c r="B89" t="s">
        <v>235</v>
      </c>
      <c r="C89" t="s">
        <v>244</v>
      </c>
      <c r="D89" t="s">
        <v>11</v>
      </c>
      <c r="E89" t="s">
        <v>107</v>
      </c>
      <c r="F89" t="s">
        <v>245</v>
      </c>
      <c r="G89" t="s">
        <v>11</v>
      </c>
      <c r="H89" t="s">
        <v>14</v>
      </c>
    </row>
    <row r="90" spans="1:8" x14ac:dyDescent="0.3">
      <c r="A90" s="3">
        <v>147728</v>
      </c>
      <c r="B90" t="s">
        <v>235</v>
      </c>
      <c r="C90" t="s">
        <v>246</v>
      </c>
      <c r="D90" t="s">
        <v>11</v>
      </c>
      <c r="E90" t="s">
        <v>247</v>
      </c>
      <c r="F90" t="s">
        <v>248</v>
      </c>
      <c r="G90" t="s">
        <v>11</v>
      </c>
      <c r="H90" t="s">
        <v>35</v>
      </c>
    </row>
    <row r="91" spans="1:8" x14ac:dyDescent="0.3">
      <c r="A91" s="3">
        <v>148370</v>
      </c>
      <c r="B91" t="s">
        <v>235</v>
      </c>
      <c r="C91" t="s">
        <v>249</v>
      </c>
      <c r="D91" t="s">
        <v>19</v>
      </c>
      <c r="E91" t="s">
        <v>250</v>
      </c>
      <c r="F91" t="s">
        <v>251</v>
      </c>
      <c r="G91" t="s">
        <v>19</v>
      </c>
      <c r="H91" t="s">
        <v>35</v>
      </c>
    </row>
    <row r="92" spans="1:8" x14ac:dyDescent="0.3">
      <c r="A92" s="3">
        <v>72902</v>
      </c>
      <c r="B92" t="s">
        <v>235</v>
      </c>
      <c r="C92" t="s">
        <v>252</v>
      </c>
      <c r="D92" t="s">
        <v>11</v>
      </c>
      <c r="E92" t="s">
        <v>253</v>
      </c>
      <c r="F92" t="s">
        <v>254</v>
      </c>
      <c r="G92" t="s">
        <v>11</v>
      </c>
      <c r="H92" t="s">
        <v>27</v>
      </c>
    </row>
    <row r="93" spans="1:8" x14ac:dyDescent="0.3">
      <c r="A93" s="3">
        <v>148841</v>
      </c>
      <c r="B93" t="s">
        <v>235</v>
      </c>
      <c r="C93" t="s">
        <v>255</v>
      </c>
      <c r="D93" t="s">
        <v>11</v>
      </c>
      <c r="E93" t="s">
        <v>256</v>
      </c>
      <c r="F93" t="s">
        <v>257</v>
      </c>
      <c r="G93" t="s">
        <v>11</v>
      </c>
      <c r="H93" t="s">
        <v>35</v>
      </c>
    </row>
    <row r="94" spans="1:8" x14ac:dyDescent="0.3">
      <c r="A94" s="3">
        <v>457594</v>
      </c>
      <c r="B94" t="s">
        <v>235</v>
      </c>
      <c r="C94" t="s">
        <v>258</v>
      </c>
      <c r="D94" t="s">
        <v>11</v>
      </c>
      <c r="E94" t="s">
        <v>142</v>
      </c>
      <c r="F94" t="s">
        <v>259</v>
      </c>
      <c r="G94" t="s">
        <v>11</v>
      </c>
      <c r="H94" t="s">
        <v>27</v>
      </c>
    </row>
    <row r="95" spans="1:8" x14ac:dyDescent="0.3">
      <c r="A95" s="3">
        <v>160606</v>
      </c>
      <c r="B95" t="s">
        <v>260</v>
      </c>
      <c r="C95" t="s">
        <v>18</v>
      </c>
      <c r="D95" t="s">
        <v>11</v>
      </c>
      <c r="E95" t="s">
        <v>261</v>
      </c>
      <c r="F95" t="s">
        <v>262</v>
      </c>
      <c r="G95" t="s">
        <v>11</v>
      </c>
      <c r="H95" t="s">
        <v>14</v>
      </c>
    </row>
    <row r="96" spans="1:8" x14ac:dyDescent="0.3">
      <c r="A96" s="3">
        <v>58029</v>
      </c>
      <c r="B96" t="s">
        <v>260</v>
      </c>
      <c r="C96" t="s">
        <v>263</v>
      </c>
      <c r="D96" t="s">
        <v>11</v>
      </c>
      <c r="E96" t="s">
        <v>170</v>
      </c>
      <c r="F96" t="s">
        <v>264</v>
      </c>
      <c r="G96" t="s">
        <v>11</v>
      </c>
      <c r="H96" t="s">
        <v>27</v>
      </c>
    </row>
    <row r="97" spans="1:8" x14ac:dyDescent="0.3">
      <c r="A97" s="3">
        <v>463825</v>
      </c>
      <c r="B97" t="s">
        <v>260</v>
      </c>
      <c r="C97" t="s">
        <v>265</v>
      </c>
      <c r="D97" t="s">
        <v>11</v>
      </c>
      <c r="E97" t="s">
        <v>266</v>
      </c>
      <c r="F97" t="s">
        <v>267</v>
      </c>
      <c r="G97" t="s">
        <v>11</v>
      </c>
      <c r="H97" t="s">
        <v>54</v>
      </c>
    </row>
    <row r="98" spans="1:8" x14ac:dyDescent="0.3">
      <c r="A98" s="3">
        <v>51805</v>
      </c>
      <c r="B98" t="s">
        <v>260</v>
      </c>
      <c r="C98" t="s">
        <v>268</v>
      </c>
      <c r="D98" t="s">
        <v>11</v>
      </c>
      <c r="E98" t="s">
        <v>147</v>
      </c>
      <c r="F98" t="s">
        <v>269</v>
      </c>
      <c r="G98" t="s">
        <v>11</v>
      </c>
      <c r="H98" t="s">
        <v>99</v>
      </c>
    </row>
    <row r="99" spans="1:8" x14ac:dyDescent="0.3">
      <c r="A99" s="3">
        <v>93264</v>
      </c>
      <c r="B99" t="s">
        <v>260</v>
      </c>
      <c r="C99" t="s">
        <v>270</v>
      </c>
      <c r="D99" t="s">
        <v>11</v>
      </c>
      <c r="E99" t="s">
        <v>12</v>
      </c>
      <c r="F99" t="s">
        <v>271</v>
      </c>
      <c r="G99" t="s">
        <v>11</v>
      </c>
      <c r="H99" t="s">
        <v>14</v>
      </c>
    </row>
    <row r="100" spans="1:8" x14ac:dyDescent="0.3">
      <c r="A100" s="3">
        <v>61282</v>
      </c>
      <c r="B100" t="s">
        <v>260</v>
      </c>
      <c r="C100" t="s">
        <v>272</v>
      </c>
      <c r="D100" t="s">
        <v>11</v>
      </c>
      <c r="E100" t="s">
        <v>215</v>
      </c>
      <c r="F100" t="s">
        <v>273</v>
      </c>
      <c r="G100" t="s">
        <v>11</v>
      </c>
      <c r="H100" t="s">
        <v>27</v>
      </c>
    </row>
    <row r="101" spans="1:8" x14ac:dyDescent="0.3">
      <c r="A101" s="3">
        <v>84537</v>
      </c>
      <c r="B101" t="s">
        <v>260</v>
      </c>
      <c r="C101" t="s">
        <v>274</v>
      </c>
      <c r="D101" t="s">
        <v>11</v>
      </c>
      <c r="E101" t="s">
        <v>16</v>
      </c>
      <c r="F101" t="s">
        <v>275</v>
      </c>
      <c r="G101" t="s">
        <v>11</v>
      </c>
      <c r="H101" t="s">
        <v>19</v>
      </c>
    </row>
    <row r="102" spans="1:8" x14ac:dyDescent="0.3">
      <c r="A102" s="3">
        <v>67364</v>
      </c>
      <c r="B102" t="s">
        <v>260</v>
      </c>
      <c r="C102" t="s">
        <v>276</v>
      </c>
      <c r="D102" t="s">
        <v>11</v>
      </c>
      <c r="E102" t="s">
        <v>14</v>
      </c>
      <c r="F102" t="s">
        <v>277</v>
      </c>
      <c r="G102" t="s">
        <v>11</v>
      </c>
      <c r="H102" t="s">
        <v>19</v>
      </c>
    </row>
    <row r="103" spans="1:8" x14ac:dyDescent="0.3">
      <c r="A103" s="3">
        <v>150481</v>
      </c>
      <c r="B103" t="s">
        <v>260</v>
      </c>
      <c r="C103" t="s">
        <v>278</v>
      </c>
      <c r="D103" t="s">
        <v>11</v>
      </c>
      <c r="E103" t="s">
        <v>69</v>
      </c>
      <c r="F103" t="s">
        <v>279</v>
      </c>
      <c r="G103" t="s">
        <v>11</v>
      </c>
      <c r="H103" t="s">
        <v>14</v>
      </c>
    </row>
    <row r="104" spans="1:8" x14ac:dyDescent="0.3">
      <c r="A104" s="3">
        <v>446242</v>
      </c>
      <c r="B104" t="s">
        <v>260</v>
      </c>
      <c r="C104" t="s">
        <v>280</v>
      </c>
      <c r="D104" t="s">
        <v>11</v>
      </c>
      <c r="E104" t="s">
        <v>281</v>
      </c>
      <c r="F104" t="s">
        <v>282</v>
      </c>
      <c r="G104" t="s">
        <v>11</v>
      </c>
      <c r="H104" t="s">
        <v>54</v>
      </c>
    </row>
    <row r="105" spans="1:8" x14ac:dyDescent="0.3">
      <c r="A105" s="3">
        <v>146205</v>
      </c>
      <c r="B105" t="s">
        <v>283</v>
      </c>
      <c r="C105" t="s">
        <v>284</v>
      </c>
      <c r="D105" t="s">
        <v>11</v>
      </c>
      <c r="E105" t="s">
        <v>247</v>
      </c>
      <c r="F105" t="s">
        <v>285</v>
      </c>
      <c r="G105" t="s">
        <v>11</v>
      </c>
      <c r="H105" t="s">
        <v>74</v>
      </c>
    </row>
    <row r="106" spans="1:8" x14ac:dyDescent="0.3">
      <c r="A106" s="3">
        <v>452723</v>
      </c>
      <c r="B106" t="s">
        <v>283</v>
      </c>
      <c r="C106" t="s">
        <v>286</v>
      </c>
      <c r="D106" t="s">
        <v>11</v>
      </c>
      <c r="E106" t="s">
        <v>27</v>
      </c>
      <c r="F106" t="s">
        <v>287</v>
      </c>
      <c r="G106" t="s">
        <v>11</v>
      </c>
      <c r="H106" t="s">
        <v>19</v>
      </c>
    </row>
    <row r="107" spans="1:8" x14ac:dyDescent="0.3">
      <c r="A107" s="3">
        <v>171327</v>
      </c>
      <c r="B107" t="s">
        <v>283</v>
      </c>
      <c r="C107" t="s">
        <v>288</v>
      </c>
      <c r="D107" t="s">
        <v>11</v>
      </c>
      <c r="E107" t="s">
        <v>289</v>
      </c>
      <c r="F107" t="s">
        <v>290</v>
      </c>
      <c r="G107" t="s">
        <v>11</v>
      </c>
      <c r="H107" t="s">
        <v>152</v>
      </c>
    </row>
    <row r="108" spans="1:8" x14ac:dyDescent="0.3">
      <c r="A108" s="3">
        <v>57968</v>
      </c>
      <c r="B108" t="s">
        <v>283</v>
      </c>
      <c r="C108" t="s">
        <v>291</v>
      </c>
      <c r="D108" t="s">
        <v>11</v>
      </c>
      <c r="E108" t="s">
        <v>19</v>
      </c>
      <c r="F108" t="s">
        <v>142</v>
      </c>
      <c r="G108" t="s">
        <v>11</v>
      </c>
      <c r="H108" t="s">
        <v>11</v>
      </c>
    </row>
    <row r="109" spans="1:8" x14ac:dyDescent="0.3">
      <c r="A109" s="3">
        <v>152017</v>
      </c>
      <c r="B109" t="s">
        <v>283</v>
      </c>
      <c r="C109" t="s">
        <v>292</v>
      </c>
      <c r="D109" t="s">
        <v>19</v>
      </c>
      <c r="E109" t="s">
        <v>293</v>
      </c>
      <c r="F109" t="s">
        <v>119</v>
      </c>
      <c r="G109" t="s">
        <v>19</v>
      </c>
      <c r="H109" t="s">
        <v>130</v>
      </c>
    </row>
    <row r="110" spans="1:8" x14ac:dyDescent="0.3">
      <c r="A110" s="3">
        <v>447213</v>
      </c>
      <c r="B110" t="s">
        <v>283</v>
      </c>
      <c r="C110" t="s">
        <v>294</v>
      </c>
      <c r="D110" t="s">
        <v>11</v>
      </c>
      <c r="E110" t="s">
        <v>118</v>
      </c>
      <c r="F110" t="s">
        <v>295</v>
      </c>
      <c r="G110" t="s">
        <v>11</v>
      </c>
      <c r="H110" t="s">
        <v>37</v>
      </c>
    </row>
    <row r="111" spans="1:8" x14ac:dyDescent="0.3">
      <c r="A111" s="3">
        <v>87550</v>
      </c>
      <c r="B111" t="s">
        <v>283</v>
      </c>
      <c r="C111" t="s">
        <v>296</v>
      </c>
      <c r="D111" t="s">
        <v>19</v>
      </c>
      <c r="E111" t="s">
        <v>152</v>
      </c>
      <c r="F111" t="s">
        <v>297</v>
      </c>
      <c r="G111" t="s">
        <v>19</v>
      </c>
      <c r="H111" t="s">
        <v>35</v>
      </c>
    </row>
    <row r="112" spans="1:8" x14ac:dyDescent="0.3">
      <c r="A112" s="3">
        <v>546270</v>
      </c>
      <c r="B112" t="s">
        <v>283</v>
      </c>
      <c r="C112" t="s">
        <v>298</v>
      </c>
      <c r="D112" t="s">
        <v>11</v>
      </c>
      <c r="E112" t="s">
        <v>299</v>
      </c>
      <c r="F112" t="s">
        <v>300</v>
      </c>
      <c r="G112" t="s">
        <v>11</v>
      </c>
      <c r="H112" t="s">
        <v>27</v>
      </c>
    </row>
    <row r="113" spans="1:8" x14ac:dyDescent="0.3">
      <c r="A113" s="3">
        <v>155742</v>
      </c>
      <c r="B113" t="s">
        <v>283</v>
      </c>
      <c r="C113" t="s">
        <v>301</v>
      </c>
      <c r="D113" t="s">
        <v>11</v>
      </c>
      <c r="E113" t="s">
        <v>152</v>
      </c>
      <c r="F113" t="s">
        <v>302</v>
      </c>
      <c r="G113" t="s">
        <v>11</v>
      </c>
      <c r="H113" t="s">
        <v>27</v>
      </c>
    </row>
    <row r="114" spans="1:8" x14ac:dyDescent="0.3">
      <c r="A114" s="3">
        <v>65360</v>
      </c>
      <c r="B114" t="s">
        <v>283</v>
      </c>
      <c r="C114" t="s">
        <v>303</v>
      </c>
      <c r="D114" t="s">
        <v>11</v>
      </c>
      <c r="E114" t="s">
        <v>19</v>
      </c>
      <c r="F114" t="s">
        <v>304</v>
      </c>
      <c r="G114" t="s">
        <v>11</v>
      </c>
      <c r="H114" t="s">
        <v>11</v>
      </c>
    </row>
    <row r="115" spans="1:8" x14ac:dyDescent="0.3">
      <c r="A115" s="3">
        <v>156614</v>
      </c>
      <c r="B115" t="s">
        <v>305</v>
      </c>
      <c r="C115" t="s">
        <v>306</v>
      </c>
      <c r="D115" t="s">
        <v>11</v>
      </c>
      <c r="E115" t="s">
        <v>307</v>
      </c>
      <c r="F115" t="s">
        <v>308</v>
      </c>
      <c r="G115" t="s">
        <v>11</v>
      </c>
      <c r="H115" t="s">
        <v>250</v>
      </c>
    </row>
    <row r="116" spans="1:8" x14ac:dyDescent="0.3">
      <c r="A116" s="3">
        <v>155365</v>
      </c>
      <c r="B116" t="s">
        <v>305</v>
      </c>
      <c r="C116" t="s">
        <v>309</v>
      </c>
      <c r="D116" t="s">
        <v>11</v>
      </c>
      <c r="E116" t="s">
        <v>310</v>
      </c>
      <c r="F116" t="s">
        <v>311</v>
      </c>
      <c r="G116" t="s">
        <v>11</v>
      </c>
      <c r="H116" t="s">
        <v>14</v>
      </c>
    </row>
    <row r="117" spans="1:8" x14ac:dyDescent="0.3">
      <c r="A117" s="3">
        <v>453082</v>
      </c>
      <c r="B117" t="s">
        <v>305</v>
      </c>
      <c r="C117" t="s">
        <v>312</v>
      </c>
      <c r="D117" t="s">
        <v>11</v>
      </c>
      <c r="E117" t="s">
        <v>14</v>
      </c>
      <c r="F117" t="s">
        <v>72</v>
      </c>
      <c r="G117" t="s">
        <v>11</v>
      </c>
      <c r="H117" t="s">
        <v>19</v>
      </c>
    </row>
    <row r="118" spans="1:8" x14ac:dyDescent="0.3">
      <c r="A118" s="3">
        <v>64172</v>
      </c>
      <c r="B118" t="s">
        <v>305</v>
      </c>
      <c r="C118" t="s">
        <v>313</v>
      </c>
      <c r="D118" t="s">
        <v>11</v>
      </c>
      <c r="E118" t="s">
        <v>16</v>
      </c>
      <c r="F118" t="s">
        <v>314</v>
      </c>
      <c r="G118" t="s">
        <v>11</v>
      </c>
      <c r="H118" t="s">
        <v>14</v>
      </c>
    </row>
    <row r="119" spans="1:8" x14ac:dyDescent="0.3">
      <c r="A119" s="3">
        <v>467705</v>
      </c>
      <c r="B119" t="s">
        <v>305</v>
      </c>
      <c r="C119" t="s">
        <v>315</v>
      </c>
      <c r="D119" t="s">
        <v>11</v>
      </c>
      <c r="E119" t="s">
        <v>316</v>
      </c>
      <c r="F119" t="s">
        <v>317</v>
      </c>
      <c r="G119" t="s">
        <v>11</v>
      </c>
      <c r="H119" t="s">
        <v>35</v>
      </c>
    </row>
    <row r="120" spans="1:8" x14ac:dyDescent="0.3">
      <c r="A120" s="3">
        <v>146130</v>
      </c>
      <c r="B120" t="s">
        <v>305</v>
      </c>
      <c r="C120" t="s">
        <v>318</v>
      </c>
      <c r="D120" t="s">
        <v>11</v>
      </c>
      <c r="E120" t="s">
        <v>316</v>
      </c>
      <c r="F120" t="s">
        <v>319</v>
      </c>
      <c r="G120" t="s">
        <v>11</v>
      </c>
      <c r="H120" t="s">
        <v>74</v>
      </c>
    </row>
    <row r="121" spans="1:8" x14ac:dyDescent="0.3">
      <c r="A121" s="3">
        <v>170771</v>
      </c>
      <c r="B121" t="s">
        <v>305</v>
      </c>
      <c r="C121" t="s">
        <v>320</v>
      </c>
      <c r="D121" t="s">
        <v>19</v>
      </c>
      <c r="E121" t="s">
        <v>321</v>
      </c>
      <c r="F121" t="s">
        <v>322</v>
      </c>
      <c r="G121" t="s">
        <v>19</v>
      </c>
      <c r="H121" t="s">
        <v>130</v>
      </c>
    </row>
    <row r="122" spans="1:8" x14ac:dyDescent="0.3">
      <c r="A122" s="3">
        <v>487850</v>
      </c>
      <c r="B122" t="s">
        <v>305</v>
      </c>
      <c r="C122" t="s">
        <v>323</v>
      </c>
      <c r="D122" t="s">
        <v>11</v>
      </c>
      <c r="E122" t="s">
        <v>16</v>
      </c>
      <c r="F122" t="s">
        <v>324</v>
      </c>
      <c r="G122" t="s">
        <v>11</v>
      </c>
      <c r="H122" t="s">
        <v>19</v>
      </c>
    </row>
    <row r="123" spans="1:8" x14ac:dyDescent="0.3">
      <c r="A123" s="3">
        <v>151678</v>
      </c>
      <c r="B123" t="s">
        <v>305</v>
      </c>
      <c r="C123" t="s">
        <v>325</v>
      </c>
      <c r="D123" t="s">
        <v>11</v>
      </c>
      <c r="E123" t="s">
        <v>326</v>
      </c>
      <c r="F123" t="s">
        <v>327</v>
      </c>
      <c r="G123" t="s">
        <v>11</v>
      </c>
      <c r="H123" t="s">
        <v>64</v>
      </c>
    </row>
    <row r="124" spans="1:8" x14ac:dyDescent="0.3">
      <c r="A124" s="3">
        <v>758648</v>
      </c>
      <c r="B124" t="s">
        <v>305</v>
      </c>
      <c r="C124" t="s">
        <v>328</v>
      </c>
      <c r="D124" t="s">
        <v>11</v>
      </c>
      <c r="E124" t="s">
        <v>19</v>
      </c>
      <c r="F124" t="s">
        <v>329</v>
      </c>
      <c r="G124" t="s">
        <v>11</v>
      </c>
      <c r="H124" t="s">
        <v>19</v>
      </c>
    </row>
    <row r="125" spans="1:8" x14ac:dyDescent="0.3">
      <c r="A125" s="3">
        <v>67260</v>
      </c>
      <c r="B125" t="s">
        <v>330</v>
      </c>
      <c r="C125" t="s">
        <v>331</v>
      </c>
      <c r="D125" t="s">
        <v>11</v>
      </c>
      <c r="E125" t="s">
        <v>299</v>
      </c>
      <c r="F125" t="s">
        <v>332</v>
      </c>
      <c r="G125" t="s">
        <v>11</v>
      </c>
      <c r="H125" t="s">
        <v>27</v>
      </c>
    </row>
    <row r="126" spans="1:8" x14ac:dyDescent="0.3">
      <c r="A126" s="3">
        <v>47738</v>
      </c>
      <c r="B126" t="s">
        <v>330</v>
      </c>
      <c r="C126" t="s">
        <v>333</v>
      </c>
      <c r="D126" t="s">
        <v>11</v>
      </c>
      <c r="E126" t="s">
        <v>334</v>
      </c>
      <c r="F126" t="s">
        <v>335</v>
      </c>
      <c r="G126" t="s">
        <v>11</v>
      </c>
      <c r="H126" t="s">
        <v>336</v>
      </c>
    </row>
    <row r="127" spans="1:8" x14ac:dyDescent="0.3">
      <c r="A127" s="3">
        <v>149058</v>
      </c>
      <c r="B127" t="s">
        <v>330</v>
      </c>
      <c r="C127" t="s">
        <v>337</v>
      </c>
      <c r="D127" t="s">
        <v>11</v>
      </c>
      <c r="E127" t="s">
        <v>27</v>
      </c>
      <c r="F127" t="s">
        <v>338</v>
      </c>
      <c r="G127" t="s">
        <v>11</v>
      </c>
      <c r="H127" t="s">
        <v>19</v>
      </c>
    </row>
    <row r="128" spans="1:8" x14ac:dyDescent="0.3">
      <c r="A128" s="3">
        <v>160668</v>
      </c>
      <c r="B128" t="s">
        <v>330</v>
      </c>
      <c r="C128" t="s">
        <v>339</v>
      </c>
      <c r="D128" t="s">
        <v>11</v>
      </c>
      <c r="E128" t="s">
        <v>37</v>
      </c>
      <c r="F128" t="s">
        <v>340</v>
      </c>
      <c r="G128" t="s">
        <v>11</v>
      </c>
      <c r="H128" t="s">
        <v>19</v>
      </c>
    </row>
    <row r="129" spans="1:8" x14ac:dyDescent="0.3">
      <c r="A129" s="3">
        <v>148836</v>
      </c>
      <c r="B129" t="s">
        <v>330</v>
      </c>
      <c r="C129" t="s">
        <v>341</v>
      </c>
      <c r="D129" t="s">
        <v>19</v>
      </c>
      <c r="E129" t="s">
        <v>99</v>
      </c>
      <c r="F129" t="s">
        <v>342</v>
      </c>
      <c r="G129" t="s">
        <v>19</v>
      </c>
      <c r="H129" t="s">
        <v>14</v>
      </c>
    </row>
    <row r="130" spans="1:8" x14ac:dyDescent="0.3">
      <c r="A130" s="3">
        <v>465202</v>
      </c>
      <c r="B130" t="s">
        <v>330</v>
      </c>
      <c r="C130" t="s">
        <v>131</v>
      </c>
      <c r="D130" t="s">
        <v>11</v>
      </c>
      <c r="E130" t="s">
        <v>19</v>
      </c>
      <c r="F130" t="s">
        <v>343</v>
      </c>
      <c r="G130" t="s">
        <v>11</v>
      </c>
      <c r="H130" t="s">
        <v>11</v>
      </c>
    </row>
    <row r="131" spans="1:8" x14ac:dyDescent="0.3">
      <c r="A131" s="3">
        <v>52225</v>
      </c>
      <c r="B131" t="s">
        <v>330</v>
      </c>
      <c r="C131" t="s">
        <v>344</v>
      </c>
      <c r="D131" t="s">
        <v>19</v>
      </c>
      <c r="E131" t="s">
        <v>27</v>
      </c>
      <c r="F131" t="s">
        <v>345</v>
      </c>
      <c r="G131" t="s">
        <v>19</v>
      </c>
      <c r="H131" t="s">
        <v>19</v>
      </c>
    </row>
    <row r="132" spans="1:8" x14ac:dyDescent="0.3">
      <c r="A132" s="3">
        <v>76467</v>
      </c>
      <c r="B132" t="s">
        <v>330</v>
      </c>
      <c r="C132" t="s">
        <v>16</v>
      </c>
      <c r="D132" t="s">
        <v>11</v>
      </c>
      <c r="E132" t="s">
        <v>11</v>
      </c>
      <c r="F132" t="s">
        <v>37</v>
      </c>
      <c r="G132" t="s">
        <v>11</v>
      </c>
      <c r="H132" t="s">
        <v>11</v>
      </c>
    </row>
    <row r="133" spans="1:8" x14ac:dyDescent="0.3">
      <c r="A133" s="3">
        <v>148558</v>
      </c>
      <c r="B133" t="s">
        <v>330</v>
      </c>
      <c r="C133" t="s">
        <v>36</v>
      </c>
      <c r="D133" t="s">
        <v>11</v>
      </c>
      <c r="E133" t="s">
        <v>64</v>
      </c>
      <c r="F133" t="s">
        <v>346</v>
      </c>
      <c r="G133" t="s">
        <v>11</v>
      </c>
      <c r="H133" t="s">
        <v>19</v>
      </c>
    </row>
    <row r="134" spans="1:8" x14ac:dyDescent="0.3">
      <c r="A134" s="3">
        <v>45744</v>
      </c>
      <c r="B134" t="s">
        <v>330</v>
      </c>
      <c r="C134" t="s">
        <v>347</v>
      </c>
      <c r="D134" t="s">
        <v>11</v>
      </c>
      <c r="E134" t="s">
        <v>348</v>
      </c>
      <c r="F134" t="s">
        <v>349</v>
      </c>
      <c r="G134" t="s">
        <v>11</v>
      </c>
      <c r="H134" t="s">
        <v>14</v>
      </c>
    </row>
    <row r="135" spans="1:8" x14ac:dyDescent="0.3">
      <c r="A135" s="3">
        <v>62597</v>
      </c>
      <c r="B135" t="s">
        <v>350</v>
      </c>
      <c r="C135" t="s">
        <v>351</v>
      </c>
      <c r="D135" t="s">
        <v>19</v>
      </c>
      <c r="E135" t="s">
        <v>176</v>
      </c>
      <c r="F135" t="s">
        <v>352</v>
      </c>
      <c r="G135" t="s">
        <v>19</v>
      </c>
      <c r="H135" t="s">
        <v>69</v>
      </c>
    </row>
    <row r="136" spans="1:8" x14ac:dyDescent="0.3">
      <c r="A136" s="3">
        <v>794482</v>
      </c>
      <c r="B136" t="s">
        <v>350</v>
      </c>
      <c r="C136" t="s">
        <v>353</v>
      </c>
      <c r="D136" t="s">
        <v>11</v>
      </c>
      <c r="E136" t="s">
        <v>343</v>
      </c>
      <c r="F136" t="s">
        <v>175</v>
      </c>
      <c r="G136" t="s">
        <v>11</v>
      </c>
      <c r="H136" t="s">
        <v>40</v>
      </c>
    </row>
    <row r="137" spans="1:8" x14ac:dyDescent="0.3">
      <c r="A137" s="3">
        <v>156063</v>
      </c>
      <c r="B137" t="s">
        <v>350</v>
      </c>
      <c r="C137" t="s">
        <v>354</v>
      </c>
      <c r="D137" t="s">
        <v>11</v>
      </c>
      <c r="E137" t="s">
        <v>355</v>
      </c>
      <c r="F137" t="s">
        <v>356</v>
      </c>
      <c r="G137" t="s">
        <v>11</v>
      </c>
      <c r="H137" t="s">
        <v>11</v>
      </c>
    </row>
    <row r="138" spans="1:8" x14ac:dyDescent="0.3">
      <c r="A138" s="3">
        <v>779014</v>
      </c>
      <c r="B138" t="s">
        <v>350</v>
      </c>
      <c r="C138" t="s">
        <v>357</v>
      </c>
      <c r="D138" t="s">
        <v>11</v>
      </c>
      <c r="E138" t="s">
        <v>358</v>
      </c>
      <c r="F138" t="s">
        <v>359</v>
      </c>
      <c r="G138" t="s">
        <v>11</v>
      </c>
      <c r="H138" t="s">
        <v>74</v>
      </c>
    </row>
    <row r="139" spans="1:8" x14ac:dyDescent="0.3">
      <c r="A139" s="3">
        <v>62984</v>
      </c>
      <c r="B139" t="s">
        <v>350</v>
      </c>
      <c r="C139" t="s">
        <v>360</v>
      </c>
      <c r="D139" t="s">
        <v>11</v>
      </c>
      <c r="E139" t="s">
        <v>31</v>
      </c>
      <c r="F139" t="s">
        <v>361</v>
      </c>
      <c r="G139" t="s">
        <v>11</v>
      </c>
      <c r="H139" t="s">
        <v>14</v>
      </c>
    </row>
    <row r="140" spans="1:8" x14ac:dyDescent="0.3">
      <c r="A140" s="3">
        <v>66680</v>
      </c>
      <c r="B140" t="s">
        <v>350</v>
      </c>
      <c r="C140" t="s">
        <v>323</v>
      </c>
      <c r="D140" t="s">
        <v>11</v>
      </c>
      <c r="E140" t="s">
        <v>130</v>
      </c>
      <c r="F140" t="s">
        <v>362</v>
      </c>
      <c r="G140" t="s">
        <v>11</v>
      </c>
      <c r="H140" t="s">
        <v>16</v>
      </c>
    </row>
    <row r="141" spans="1:8" x14ac:dyDescent="0.3">
      <c r="A141" s="3">
        <v>47559</v>
      </c>
      <c r="B141" t="s">
        <v>350</v>
      </c>
      <c r="C141" t="s">
        <v>363</v>
      </c>
      <c r="D141" t="s">
        <v>11</v>
      </c>
      <c r="E141" t="s">
        <v>364</v>
      </c>
      <c r="F141" t="s">
        <v>365</v>
      </c>
      <c r="G141" t="s">
        <v>11</v>
      </c>
      <c r="H141" t="s">
        <v>178</v>
      </c>
    </row>
    <row r="142" spans="1:8" x14ac:dyDescent="0.3">
      <c r="A142" s="3">
        <v>463769</v>
      </c>
      <c r="B142" t="s">
        <v>350</v>
      </c>
      <c r="C142" t="s">
        <v>366</v>
      </c>
      <c r="D142" t="s">
        <v>11</v>
      </c>
      <c r="E142" t="s">
        <v>43</v>
      </c>
      <c r="F142" t="s">
        <v>367</v>
      </c>
      <c r="G142" t="s">
        <v>11</v>
      </c>
      <c r="H142" t="s">
        <v>14</v>
      </c>
    </row>
    <row r="143" spans="1:8" x14ac:dyDescent="0.3">
      <c r="A143" s="3">
        <v>168952</v>
      </c>
      <c r="B143" t="s">
        <v>350</v>
      </c>
      <c r="C143" t="s">
        <v>368</v>
      </c>
      <c r="D143" t="s">
        <v>19</v>
      </c>
      <c r="E143" t="s">
        <v>27</v>
      </c>
      <c r="F143" t="s">
        <v>369</v>
      </c>
      <c r="G143" t="s">
        <v>11</v>
      </c>
      <c r="H143" t="s">
        <v>19</v>
      </c>
    </row>
    <row r="144" spans="1:8" x14ac:dyDescent="0.3">
      <c r="A144" s="3">
        <v>583762</v>
      </c>
      <c r="B144" t="s">
        <v>350</v>
      </c>
      <c r="C144" t="s">
        <v>370</v>
      </c>
      <c r="D144" t="s">
        <v>11</v>
      </c>
      <c r="E144" t="s">
        <v>371</v>
      </c>
      <c r="F144" t="s">
        <v>372</v>
      </c>
      <c r="G144" t="s">
        <v>11</v>
      </c>
      <c r="H144" t="s">
        <v>16</v>
      </c>
    </row>
    <row r="145" spans="1:8" x14ac:dyDescent="0.3">
      <c r="A145" s="3">
        <v>62540</v>
      </c>
      <c r="B145" t="s">
        <v>373</v>
      </c>
      <c r="C145" t="s">
        <v>374</v>
      </c>
      <c r="D145" t="s">
        <v>11</v>
      </c>
      <c r="E145" t="s">
        <v>229</v>
      </c>
      <c r="F145" t="s">
        <v>375</v>
      </c>
      <c r="G145" t="s">
        <v>11</v>
      </c>
      <c r="H145" t="s">
        <v>35</v>
      </c>
    </row>
    <row r="146" spans="1:8" x14ac:dyDescent="0.3">
      <c r="A146" s="3">
        <v>76448</v>
      </c>
      <c r="B146" t="s">
        <v>373</v>
      </c>
      <c r="C146" t="s">
        <v>376</v>
      </c>
      <c r="D146" t="s">
        <v>11</v>
      </c>
      <c r="E146" t="s">
        <v>130</v>
      </c>
      <c r="F146" t="s">
        <v>377</v>
      </c>
      <c r="G146" t="s">
        <v>11</v>
      </c>
      <c r="H146" t="s">
        <v>19</v>
      </c>
    </row>
    <row r="147" spans="1:8" x14ac:dyDescent="0.3">
      <c r="A147" s="3">
        <v>160550</v>
      </c>
      <c r="B147" t="s">
        <v>373</v>
      </c>
      <c r="C147" t="s">
        <v>378</v>
      </c>
      <c r="D147" t="s">
        <v>11</v>
      </c>
      <c r="E147" t="s">
        <v>27</v>
      </c>
      <c r="F147" t="s">
        <v>379</v>
      </c>
      <c r="G147" t="s">
        <v>11</v>
      </c>
      <c r="H147" t="s">
        <v>19</v>
      </c>
    </row>
    <row r="148" spans="1:8" x14ac:dyDescent="0.3">
      <c r="A148" s="3">
        <v>150315</v>
      </c>
      <c r="B148" t="s">
        <v>373</v>
      </c>
      <c r="C148" t="s">
        <v>380</v>
      </c>
      <c r="D148" t="s">
        <v>11</v>
      </c>
      <c r="E148" t="s">
        <v>74</v>
      </c>
      <c r="F148" t="s">
        <v>381</v>
      </c>
      <c r="G148" t="s">
        <v>11</v>
      </c>
      <c r="H148" t="s">
        <v>19</v>
      </c>
    </row>
    <row r="149" spans="1:8" x14ac:dyDescent="0.3">
      <c r="A149" s="3">
        <v>62903</v>
      </c>
      <c r="B149" t="s">
        <v>373</v>
      </c>
      <c r="C149" t="s">
        <v>382</v>
      </c>
      <c r="D149" t="s">
        <v>11</v>
      </c>
      <c r="E149" t="s">
        <v>19</v>
      </c>
      <c r="F149" t="s">
        <v>383</v>
      </c>
      <c r="G149" t="s">
        <v>11</v>
      </c>
      <c r="H149" t="s">
        <v>11</v>
      </c>
    </row>
    <row r="150" spans="1:8" x14ac:dyDescent="0.3">
      <c r="A150" s="3">
        <v>59458</v>
      </c>
      <c r="B150" t="s">
        <v>373</v>
      </c>
      <c r="C150" t="s">
        <v>384</v>
      </c>
      <c r="D150" t="s">
        <v>11</v>
      </c>
      <c r="E150" t="s">
        <v>69</v>
      </c>
      <c r="F150" t="s">
        <v>385</v>
      </c>
      <c r="G150" t="s">
        <v>11</v>
      </c>
      <c r="H150" t="s">
        <v>14</v>
      </c>
    </row>
    <row r="151" spans="1:8" x14ac:dyDescent="0.3">
      <c r="A151" s="3">
        <v>91948</v>
      </c>
      <c r="B151" t="s">
        <v>373</v>
      </c>
      <c r="C151" t="s">
        <v>386</v>
      </c>
      <c r="D151" t="s">
        <v>11</v>
      </c>
      <c r="E151" t="s">
        <v>387</v>
      </c>
      <c r="F151" t="s">
        <v>388</v>
      </c>
      <c r="G151" t="s">
        <v>11</v>
      </c>
      <c r="H151" t="s">
        <v>14</v>
      </c>
    </row>
    <row r="152" spans="1:8" x14ac:dyDescent="0.3">
      <c r="A152" s="3">
        <v>441635</v>
      </c>
      <c r="B152" t="s">
        <v>373</v>
      </c>
      <c r="C152" t="s">
        <v>389</v>
      </c>
      <c r="D152" t="s">
        <v>11</v>
      </c>
      <c r="E152" t="s">
        <v>37</v>
      </c>
      <c r="F152" t="s">
        <v>390</v>
      </c>
      <c r="G152" t="s">
        <v>11</v>
      </c>
      <c r="H152" t="s">
        <v>19</v>
      </c>
    </row>
    <row r="153" spans="1:8" x14ac:dyDescent="0.3">
      <c r="A153" s="3">
        <v>452308</v>
      </c>
      <c r="B153" t="s">
        <v>373</v>
      </c>
      <c r="C153" t="s">
        <v>391</v>
      </c>
      <c r="D153" t="s">
        <v>11</v>
      </c>
      <c r="E153" t="s">
        <v>293</v>
      </c>
      <c r="F153" t="s">
        <v>392</v>
      </c>
      <c r="G153" t="s">
        <v>11</v>
      </c>
      <c r="H153" t="s">
        <v>130</v>
      </c>
    </row>
    <row r="154" spans="1:8" x14ac:dyDescent="0.3">
      <c r="A154" s="3">
        <v>445676</v>
      </c>
      <c r="B154" t="s">
        <v>373</v>
      </c>
      <c r="C154" t="s">
        <v>353</v>
      </c>
      <c r="D154" t="s">
        <v>11</v>
      </c>
      <c r="E154" t="s">
        <v>336</v>
      </c>
      <c r="F154" t="s">
        <v>393</v>
      </c>
      <c r="G154" t="s">
        <v>11</v>
      </c>
      <c r="H154" t="s">
        <v>14</v>
      </c>
    </row>
    <row r="155" spans="1:8" x14ac:dyDescent="0.3">
      <c r="A155" s="3">
        <v>44693</v>
      </c>
      <c r="B155" t="s">
        <v>394</v>
      </c>
      <c r="C155" t="s">
        <v>71</v>
      </c>
      <c r="D155" t="s">
        <v>11</v>
      </c>
      <c r="E155" t="s">
        <v>105</v>
      </c>
      <c r="F155" t="s">
        <v>395</v>
      </c>
      <c r="G155" t="s">
        <v>11</v>
      </c>
      <c r="H155" t="s">
        <v>14</v>
      </c>
    </row>
    <row r="156" spans="1:8" x14ac:dyDescent="0.3">
      <c r="A156" s="3">
        <v>46036</v>
      </c>
      <c r="B156" t="s">
        <v>394</v>
      </c>
      <c r="C156" t="s">
        <v>396</v>
      </c>
      <c r="D156" t="s">
        <v>19</v>
      </c>
      <c r="E156" t="s">
        <v>397</v>
      </c>
      <c r="F156" t="s">
        <v>398</v>
      </c>
      <c r="G156" t="s">
        <v>19</v>
      </c>
      <c r="H156" t="s">
        <v>69</v>
      </c>
    </row>
    <row r="157" spans="1:8" x14ac:dyDescent="0.3">
      <c r="A157" s="3">
        <v>55323</v>
      </c>
      <c r="B157" t="s">
        <v>394</v>
      </c>
      <c r="C157" t="s">
        <v>399</v>
      </c>
      <c r="D157" t="s">
        <v>11</v>
      </c>
      <c r="E157" t="s">
        <v>12</v>
      </c>
      <c r="F157" t="s">
        <v>180</v>
      </c>
      <c r="G157" t="s">
        <v>11</v>
      </c>
      <c r="H157" t="s">
        <v>37</v>
      </c>
    </row>
    <row r="158" spans="1:8" x14ac:dyDescent="0.3">
      <c r="A158" s="3">
        <v>90454</v>
      </c>
      <c r="B158" t="s">
        <v>394</v>
      </c>
      <c r="C158" t="s">
        <v>400</v>
      </c>
      <c r="D158" t="s">
        <v>11</v>
      </c>
      <c r="E158" t="s">
        <v>11</v>
      </c>
      <c r="F158" t="s">
        <v>89</v>
      </c>
      <c r="G158" t="s">
        <v>11</v>
      </c>
      <c r="H158" t="s">
        <v>11</v>
      </c>
    </row>
    <row r="159" spans="1:8" x14ac:dyDescent="0.3">
      <c r="A159" s="3">
        <v>159113</v>
      </c>
      <c r="B159" t="s">
        <v>394</v>
      </c>
      <c r="C159" t="s">
        <v>8</v>
      </c>
      <c r="D159" t="s">
        <v>8</v>
      </c>
      <c r="E159" t="s">
        <v>8</v>
      </c>
      <c r="F159" t="s">
        <v>8</v>
      </c>
      <c r="G159" t="s">
        <v>8</v>
      </c>
      <c r="H159" t="s">
        <v>8</v>
      </c>
    </row>
    <row r="160" spans="1:8" x14ac:dyDescent="0.3">
      <c r="A160" s="3">
        <v>441659</v>
      </c>
      <c r="B160" t="s">
        <v>394</v>
      </c>
      <c r="C160" t="s">
        <v>401</v>
      </c>
      <c r="D160" t="s">
        <v>11</v>
      </c>
      <c r="E160" t="s">
        <v>46</v>
      </c>
      <c r="F160" t="s">
        <v>402</v>
      </c>
      <c r="G160" t="s">
        <v>11</v>
      </c>
      <c r="H160" t="s">
        <v>14</v>
      </c>
    </row>
    <row r="161" spans="1:8" x14ac:dyDescent="0.3">
      <c r="A161" s="3">
        <v>463632</v>
      </c>
      <c r="B161" t="s">
        <v>394</v>
      </c>
      <c r="C161" t="s">
        <v>403</v>
      </c>
      <c r="D161" t="s">
        <v>11</v>
      </c>
      <c r="E161" t="s">
        <v>27</v>
      </c>
      <c r="F161" t="s">
        <v>404</v>
      </c>
      <c r="G161" t="s">
        <v>11</v>
      </c>
      <c r="H161" t="s">
        <v>19</v>
      </c>
    </row>
    <row r="162" spans="1:8" x14ac:dyDescent="0.3">
      <c r="A162" s="3">
        <v>149077</v>
      </c>
      <c r="B162" t="s">
        <v>394</v>
      </c>
      <c r="C162" t="s">
        <v>405</v>
      </c>
      <c r="D162" t="s">
        <v>11</v>
      </c>
      <c r="E162" t="s">
        <v>99</v>
      </c>
      <c r="F162" t="s">
        <v>406</v>
      </c>
      <c r="G162" t="s">
        <v>19</v>
      </c>
      <c r="H162" t="s">
        <v>14</v>
      </c>
    </row>
    <row r="163" spans="1:8" x14ac:dyDescent="0.3">
      <c r="A163" s="3">
        <v>452718</v>
      </c>
      <c r="B163" t="s">
        <v>407</v>
      </c>
      <c r="C163" t="s">
        <v>408</v>
      </c>
      <c r="D163" t="s">
        <v>11</v>
      </c>
      <c r="E163" t="s">
        <v>27</v>
      </c>
      <c r="F163" t="s">
        <v>409</v>
      </c>
      <c r="G163" t="s">
        <v>11</v>
      </c>
      <c r="H163" t="s">
        <v>19</v>
      </c>
    </row>
    <row r="164" spans="1:8" x14ac:dyDescent="0.3">
      <c r="A164" s="3">
        <v>169225</v>
      </c>
      <c r="B164" t="s">
        <v>407</v>
      </c>
      <c r="C164" t="s">
        <v>410</v>
      </c>
      <c r="D164" t="s">
        <v>11</v>
      </c>
      <c r="E164" t="s">
        <v>152</v>
      </c>
      <c r="F164" t="s">
        <v>411</v>
      </c>
      <c r="G164" t="s">
        <v>19</v>
      </c>
      <c r="H164" t="s">
        <v>14</v>
      </c>
    </row>
    <row r="165" spans="1:8" x14ac:dyDescent="0.3">
      <c r="A165" s="3">
        <v>558847</v>
      </c>
      <c r="B165" t="s">
        <v>407</v>
      </c>
      <c r="C165" t="s">
        <v>412</v>
      </c>
      <c r="D165" t="s">
        <v>11</v>
      </c>
      <c r="E165" t="s">
        <v>16</v>
      </c>
      <c r="F165" t="s">
        <v>221</v>
      </c>
      <c r="G165" t="s">
        <v>11</v>
      </c>
      <c r="H165" t="s">
        <v>19</v>
      </c>
    </row>
    <row r="166" spans="1:8" x14ac:dyDescent="0.3">
      <c r="A166" s="3">
        <v>93565</v>
      </c>
      <c r="B166" t="s">
        <v>407</v>
      </c>
      <c r="C166" t="s">
        <v>413</v>
      </c>
      <c r="D166" t="s">
        <v>11</v>
      </c>
      <c r="E166" t="s">
        <v>414</v>
      </c>
      <c r="F166" t="s">
        <v>415</v>
      </c>
      <c r="G166" t="s">
        <v>11</v>
      </c>
      <c r="H166" t="s">
        <v>64</v>
      </c>
    </row>
    <row r="167" spans="1:8" x14ac:dyDescent="0.3">
      <c r="A167" s="3">
        <v>79437</v>
      </c>
      <c r="B167" t="s">
        <v>407</v>
      </c>
      <c r="C167" t="s">
        <v>416</v>
      </c>
      <c r="D167" t="s">
        <v>11</v>
      </c>
      <c r="E167" t="s">
        <v>99</v>
      </c>
      <c r="F167" t="s">
        <v>417</v>
      </c>
      <c r="G167" t="s">
        <v>11</v>
      </c>
      <c r="H167" t="s">
        <v>14</v>
      </c>
    </row>
    <row r="168" spans="1:8" x14ac:dyDescent="0.3">
      <c r="A168" s="3">
        <v>544681</v>
      </c>
      <c r="B168" t="s">
        <v>407</v>
      </c>
      <c r="C168" t="s">
        <v>418</v>
      </c>
      <c r="D168" t="s">
        <v>19</v>
      </c>
      <c r="E168" t="s">
        <v>419</v>
      </c>
      <c r="F168" t="s">
        <v>420</v>
      </c>
      <c r="G168" t="s">
        <v>19</v>
      </c>
      <c r="H168" t="s">
        <v>74</v>
      </c>
    </row>
    <row r="169" spans="1:8" x14ac:dyDescent="0.3">
      <c r="A169" s="3">
        <v>80619</v>
      </c>
      <c r="B169" t="s">
        <v>407</v>
      </c>
      <c r="C169" t="s">
        <v>421</v>
      </c>
      <c r="D169" t="s">
        <v>11</v>
      </c>
      <c r="E169" t="s">
        <v>46</v>
      </c>
      <c r="F169" t="s">
        <v>422</v>
      </c>
      <c r="G169" t="s">
        <v>11</v>
      </c>
      <c r="H169" t="s">
        <v>19</v>
      </c>
    </row>
    <row r="170" spans="1:8" x14ac:dyDescent="0.3">
      <c r="A170" s="3">
        <v>445723</v>
      </c>
      <c r="B170" t="s">
        <v>407</v>
      </c>
      <c r="C170" t="s">
        <v>423</v>
      </c>
      <c r="D170" t="s">
        <v>11</v>
      </c>
      <c r="E170" t="s">
        <v>196</v>
      </c>
      <c r="F170" t="s">
        <v>424</v>
      </c>
      <c r="G170" t="s">
        <v>11</v>
      </c>
      <c r="H170" t="s">
        <v>229</v>
      </c>
    </row>
    <row r="171" spans="1:8" x14ac:dyDescent="0.3">
      <c r="A171" s="3">
        <v>86857</v>
      </c>
      <c r="B171" t="s">
        <v>407</v>
      </c>
      <c r="C171" t="s">
        <v>425</v>
      </c>
      <c r="D171" t="s">
        <v>11</v>
      </c>
      <c r="E171" t="s">
        <v>69</v>
      </c>
      <c r="F171" t="s">
        <v>426</v>
      </c>
      <c r="G171" t="s">
        <v>11</v>
      </c>
      <c r="H171" t="s">
        <v>27</v>
      </c>
    </row>
    <row r="172" spans="1:8" x14ac:dyDescent="0.3">
      <c r="A172" s="3">
        <v>160574</v>
      </c>
      <c r="B172" t="s">
        <v>427</v>
      </c>
      <c r="C172" t="s">
        <v>428</v>
      </c>
      <c r="D172" t="s">
        <v>11</v>
      </c>
      <c r="E172" t="s">
        <v>261</v>
      </c>
      <c r="F172" t="s">
        <v>429</v>
      </c>
      <c r="G172" t="s">
        <v>11</v>
      </c>
      <c r="H172" t="s">
        <v>14</v>
      </c>
    </row>
    <row r="173" spans="1:8" x14ac:dyDescent="0.3">
      <c r="A173" s="3">
        <v>462473</v>
      </c>
      <c r="B173" t="s">
        <v>427</v>
      </c>
      <c r="C173" t="s">
        <v>430</v>
      </c>
      <c r="D173" t="s">
        <v>11</v>
      </c>
      <c r="E173" t="s">
        <v>234</v>
      </c>
      <c r="F173" t="s">
        <v>431</v>
      </c>
      <c r="G173" t="s">
        <v>11</v>
      </c>
      <c r="H173" t="s">
        <v>74</v>
      </c>
    </row>
    <row r="174" spans="1:8" x14ac:dyDescent="0.3">
      <c r="A174" s="3">
        <v>463552</v>
      </c>
      <c r="B174" t="s">
        <v>427</v>
      </c>
      <c r="C174" t="s">
        <v>432</v>
      </c>
      <c r="D174" t="s">
        <v>11</v>
      </c>
      <c r="E174" t="s">
        <v>226</v>
      </c>
      <c r="F174" t="s">
        <v>433</v>
      </c>
      <c r="G174" t="s">
        <v>11</v>
      </c>
      <c r="H174" t="s">
        <v>37</v>
      </c>
    </row>
    <row r="175" spans="1:8" x14ac:dyDescent="0.3">
      <c r="A175" s="3">
        <v>562359</v>
      </c>
      <c r="B175" t="s">
        <v>427</v>
      </c>
      <c r="C175" t="s">
        <v>386</v>
      </c>
      <c r="D175" t="s">
        <v>11</v>
      </c>
      <c r="E175" t="s">
        <v>69</v>
      </c>
      <c r="F175" t="s">
        <v>434</v>
      </c>
      <c r="G175" t="s">
        <v>11</v>
      </c>
      <c r="H175" t="s">
        <v>14</v>
      </c>
    </row>
    <row r="176" spans="1:8" x14ac:dyDescent="0.3">
      <c r="A176" s="3">
        <v>150570</v>
      </c>
      <c r="B176" t="s">
        <v>427</v>
      </c>
      <c r="C176" t="s">
        <v>435</v>
      </c>
      <c r="D176" t="s">
        <v>11</v>
      </c>
      <c r="E176" t="s">
        <v>436</v>
      </c>
      <c r="F176" t="s">
        <v>437</v>
      </c>
      <c r="G176" t="s">
        <v>11</v>
      </c>
      <c r="H176" t="s">
        <v>14</v>
      </c>
    </row>
    <row r="177" spans="1:8" x14ac:dyDescent="0.3">
      <c r="A177" s="3">
        <v>64308</v>
      </c>
      <c r="B177" t="s">
        <v>427</v>
      </c>
      <c r="C177" t="s">
        <v>438</v>
      </c>
      <c r="D177" t="s">
        <v>19</v>
      </c>
      <c r="E177" t="s">
        <v>27</v>
      </c>
      <c r="F177" t="s">
        <v>439</v>
      </c>
      <c r="G177" t="s">
        <v>19</v>
      </c>
      <c r="H177" t="s">
        <v>19</v>
      </c>
    </row>
    <row r="178" spans="1:8" x14ac:dyDescent="0.3">
      <c r="A178" s="3">
        <v>63002</v>
      </c>
      <c r="B178" t="s">
        <v>427</v>
      </c>
      <c r="C178" t="s">
        <v>440</v>
      </c>
      <c r="D178" t="s">
        <v>11</v>
      </c>
      <c r="E178" t="s">
        <v>16</v>
      </c>
      <c r="F178" t="s">
        <v>441</v>
      </c>
      <c r="G178" t="s">
        <v>11</v>
      </c>
      <c r="H178" t="s">
        <v>14</v>
      </c>
    </row>
    <row r="179" spans="1:8" x14ac:dyDescent="0.3">
      <c r="A179" s="3">
        <v>86739</v>
      </c>
      <c r="B179" t="s">
        <v>427</v>
      </c>
      <c r="C179" t="s">
        <v>442</v>
      </c>
      <c r="D179" t="s">
        <v>11</v>
      </c>
      <c r="E179" t="s">
        <v>89</v>
      </c>
      <c r="F179" t="s">
        <v>443</v>
      </c>
      <c r="G179" t="s">
        <v>11</v>
      </c>
      <c r="H179" t="s">
        <v>14</v>
      </c>
    </row>
    <row r="180" spans="1:8" x14ac:dyDescent="0.3">
      <c r="A180" s="3">
        <v>793152</v>
      </c>
      <c r="B180" t="s">
        <v>427</v>
      </c>
      <c r="C180" t="s">
        <v>444</v>
      </c>
      <c r="D180" t="s">
        <v>11</v>
      </c>
      <c r="E180" t="s">
        <v>135</v>
      </c>
      <c r="F180" t="s">
        <v>445</v>
      </c>
      <c r="G180" t="s">
        <v>11</v>
      </c>
      <c r="H180" t="s">
        <v>64</v>
      </c>
    </row>
    <row r="181" spans="1:8" x14ac:dyDescent="0.3">
      <c r="A181" s="3">
        <v>68189</v>
      </c>
      <c r="B181" t="s">
        <v>427</v>
      </c>
      <c r="C181" t="s">
        <v>446</v>
      </c>
      <c r="D181" t="s">
        <v>19</v>
      </c>
      <c r="E181" t="s">
        <v>139</v>
      </c>
      <c r="F181" t="s">
        <v>447</v>
      </c>
      <c r="G181" t="s">
        <v>19</v>
      </c>
      <c r="H181" t="s">
        <v>16</v>
      </c>
    </row>
    <row r="182" spans="1:8" x14ac:dyDescent="0.3">
      <c r="A182" s="3">
        <v>80011</v>
      </c>
      <c r="B182" t="s">
        <v>448</v>
      </c>
      <c r="C182" t="s">
        <v>449</v>
      </c>
      <c r="D182" t="s">
        <v>19</v>
      </c>
      <c r="E182" t="s">
        <v>19</v>
      </c>
      <c r="F182" t="s">
        <v>450</v>
      </c>
      <c r="G182" t="s">
        <v>19</v>
      </c>
      <c r="H182" t="s">
        <v>19</v>
      </c>
    </row>
    <row r="183" spans="1:8" x14ac:dyDescent="0.3">
      <c r="A183" s="3">
        <v>66492</v>
      </c>
      <c r="B183" t="s">
        <v>448</v>
      </c>
      <c r="C183" t="s">
        <v>451</v>
      </c>
      <c r="D183" t="s">
        <v>11</v>
      </c>
      <c r="E183" t="s">
        <v>46</v>
      </c>
      <c r="F183" t="s">
        <v>452</v>
      </c>
      <c r="G183" t="s">
        <v>11</v>
      </c>
      <c r="H183" t="s">
        <v>19</v>
      </c>
    </row>
    <row r="184" spans="1:8" x14ac:dyDescent="0.3">
      <c r="A184" s="3">
        <v>84518</v>
      </c>
      <c r="B184" t="s">
        <v>448</v>
      </c>
      <c r="C184" t="s">
        <v>453</v>
      </c>
      <c r="D184" t="s">
        <v>11</v>
      </c>
      <c r="E184" t="s">
        <v>12</v>
      </c>
      <c r="F184" t="s">
        <v>454</v>
      </c>
      <c r="G184" t="s">
        <v>11</v>
      </c>
      <c r="H184" t="s">
        <v>37</v>
      </c>
    </row>
    <row r="185" spans="1:8" x14ac:dyDescent="0.3">
      <c r="A185" s="3">
        <v>146578</v>
      </c>
      <c r="B185" t="s">
        <v>448</v>
      </c>
      <c r="C185" t="s">
        <v>455</v>
      </c>
      <c r="D185" t="s">
        <v>19</v>
      </c>
      <c r="E185" t="s">
        <v>414</v>
      </c>
      <c r="F185" t="s">
        <v>456</v>
      </c>
      <c r="G185" t="s">
        <v>19</v>
      </c>
      <c r="H185" t="s">
        <v>74</v>
      </c>
    </row>
    <row r="186" spans="1:8" x14ac:dyDescent="0.3">
      <c r="A186" s="3">
        <v>146371</v>
      </c>
      <c r="B186" t="s">
        <v>448</v>
      </c>
      <c r="C186" t="s">
        <v>457</v>
      </c>
      <c r="D186" t="s">
        <v>11</v>
      </c>
      <c r="E186" t="s">
        <v>46</v>
      </c>
      <c r="F186" t="s">
        <v>458</v>
      </c>
      <c r="G186" t="s">
        <v>11</v>
      </c>
      <c r="H186" t="s">
        <v>14</v>
      </c>
    </row>
    <row r="187" spans="1:8" x14ac:dyDescent="0.3">
      <c r="A187" s="3">
        <v>150508</v>
      </c>
      <c r="B187" t="s">
        <v>448</v>
      </c>
      <c r="C187" t="s">
        <v>459</v>
      </c>
      <c r="D187" t="s">
        <v>11</v>
      </c>
      <c r="E187" t="s">
        <v>307</v>
      </c>
      <c r="F187" t="s">
        <v>460</v>
      </c>
      <c r="G187" t="s">
        <v>11</v>
      </c>
      <c r="H187" t="s">
        <v>74</v>
      </c>
    </row>
    <row r="188" spans="1:8" x14ac:dyDescent="0.3">
      <c r="A188" s="3">
        <v>573956</v>
      </c>
      <c r="B188" t="s">
        <v>448</v>
      </c>
      <c r="C188" t="s">
        <v>461</v>
      </c>
      <c r="D188" t="s">
        <v>11</v>
      </c>
      <c r="E188" t="s">
        <v>334</v>
      </c>
      <c r="F188" t="s">
        <v>462</v>
      </c>
      <c r="G188" t="s">
        <v>11</v>
      </c>
      <c r="H188" t="s">
        <v>250</v>
      </c>
    </row>
    <row r="189" spans="1:8" x14ac:dyDescent="0.3">
      <c r="A189" s="3">
        <v>463458</v>
      </c>
      <c r="B189" t="s">
        <v>448</v>
      </c>
      <c r="C189" t="s">
        <v>463</v>
      </c>
      <c r="D189" t="s">
        <v>11</v>
      </c>
      <c r="E189" t="s">
        <v>387</v>
      </c>
      <c r="F189" t="s">
        <v>464</v>
      </c>
      <c r="G189" t="s">
        <v>11</v>
      </c>
      <c r="H189" t="s">
        <v>14</v>
      </c>
    </row>
    <row r="190" spans="1:8" x14ac:dyDescent="0.3">
      <c r="A190" s="3">
        <v>146248</v>
      </c>
      <c r="B190" t="s">
        <v>448</v>
      </c>
      <c r="C190" t="s">
        <v>465</v>
      </c>
      <c r="D190" t="s">
        <v>11</v>
      </c>
      <c r="E190" t="s">
        <v>16</v>
      </c>
      <c r="F190" t="s">
        <v>207</v>
      </c>
      <c r="G190" t="s">
        <v>11</v>
      </c>
      <c r="H190" t="s">
        <v>14</v>
      </c>
    </row>
    <row r="191" spans="1:8" x14ac:dyDescent="0.3">
      <c r="A191" s="3">
        <v>171266</v>
      </c>
      <c r="B191" t="s">
        <v>448</v>
      </c>
      <c r="C191" t="s">
        <v>362</v>
      </c>
      <c r="D191" t="s">
        <v>11</v>
      </c>
      <c r="E191" t="s">
        <v>152</v>
      </c>
      <c r="F191" t="s">
        <v>466</v>
      </c>
      <c r="G191" t="s">
        <v>11</v>
      </c>
      <c r="H191" t="s">
        <v>11</v>
      </c>
    </row>
    <row r="192" spans="1:8" x14ac:dyDescent="0.3">
      <c r="A192" s="3">
        <v>53263</v>
      </c>
      <c r="B192" t="s">
        <v>467</v>
      </c>
      <c r="C192" t="s">
        <v>468</v>
      </c>
      <c r="D192" t="s">
        <v>11</v>
      </c>
      <c r="E192" t="s">
        <v>54</v>
      </c>
      <c r="F192" t="s">
        <v>369</v>
      </c>
      <c r="G192" t="s">
        <v>11</v>
      </c>
      <c r="H192" t="s">
        <v>14</v>
      </c>
    </row>
    <row r="193" spans="1:8" x14ac:dyDescent="0.3">
      <c r="A193" s="3">
        <v>170064</v>
      </c>
      <c r="B193" t="s">
        <v>467</v>
      </c>
      <c r="C193" t="s">
        <v>469</v>
      </c>
      <c r="D193" t="s">
        <v>11</v>
      </c>
      <c r="E193" t="s">
        <v>470</v>
      </c>
      <c r="F193" t="s">
        <v>471</v>
      </c>
      <c r="G193" t="s">
        <v>11</v>
      </c>
      <c r="H193" t="s">
        <v>250</v>
      </c>
    </row>
    <row r="194" spans="1:8" x14ac:dyDescent="0.3">
      <c r="A194" s="3">
        <v>486836</v>
      </c>
      <c r="B194" t="s">
        <v>467</v>
      </c>
      <c r="C194" t="s">
        <v>472</v>
      </c>
      <c r="D194" t="s">
        <v>11</v>
      </c>
      <c r="E194" t="s">
        <v>11</v>
      </c>
      <c r="F194" t="s">
        <v>35</v>
      </c>
      <c r="G194" t="s">
        <v>11</v>
      </c>
      <c r="H194" t="s">
        <v>11</v>
      </c>
    </row>
    <row r="195" spans="1:8" x14ac:dyDescent="0.3">
      <c r="A195" s="3">
        <v>66878</v>
      </c>
      <c r="B195" t="s">
        <v>467</v>
      </c>
      <c r="C195" t="s">
        <v>473</v>
      </c>
      <c r="D195" t="s">
        <v>11</v>
      </c>
      <c r="E195" t="s">
        <v>19</v>
      </c>
      <c r="F195" t="s">
        <v>14</v>
      </c>
      <c r="G195" t="s">
        <v>11</v>
      </c>
      <c r="H195" t="s">
        <v>11</v>
      </c>
    </row>
    <row r="196" spans="1:8" x14ac:dyDescent="0.3">
      <c r="A196" s="3">
        <v>149020</v>
      </c>
      <c r="B196" t="s">
        <v>467</v>
      </c>
      <c r="C196" t="s">
        <v>474</v>
      </c>
      <c r="D196" t="s">
        <v>19</v>
      </c>
      <c r="E196" t="s">
        <v>358</v>
      </c>
      <c r="F196" t="s">
        <v>475</v>
      </c>
      <c r="G196" t="s">
        <v>19</v>
      </c>
      <c r="H196" t="s">
        <v>16</v>
      </c>
    </row>
    <row r="197" spans="1:8" x14ac:dyDescent="0.3">
      <c r="A197" s="3">
        <v>488350</v>
      </c>
      <c r="B197" t="s">
        <v>467</v>
      </c>
      <c r="C197" t="s">
        <v>476</v>
      </c>
      <c r="D197" t="s">
        <v>11</v>
      </c>
      <c r="E197" t="s">
        <v>64</v>
      </c>
      <c r="F197" t="s">
        <v>477</v>
      </c>
      <c r="G197" t="s">
        <v>11</v>
      </c>
      <c r="H197" t="s">
        <v>19</v>
      </c>
    </row>
    <row r="198" spans="1:8" x14ac:dyDescent="0.3">
      <c r="A198" s="3">
        <v>441433</v>
      </c>
      <c r="B198" t="s">
        <v>467</v>
      </c>
      <c r="C198" t="s">
        <v>478</v>
      </c>
      <c r="D198" t="s">
        <v>11</v>
      </c>
      <c r="E198" t="s">
        <v>14</v>
      </c>
      <c r="F198" t="s">
        <v>479</v>
      </c>
      <c r="G198" t="s">
        <v>11</v>
      </c>
      <c r="H198" t="s">
        <v>19</v>
      </c>
    </row>
    <row r="199" spans="1:8" x14ac:dyDescent="0.3">
      <c r="A199" s="3">
        <v>42627</v>
      </c>
      <c r="B199" t="s">
        <v>467</v>
      </c>
      <c r="C199" t="s">
        <v>480</v>
      </c>
      <c r="D199" t="s">
        <v>11</v>
      </c>
      <c r="E199" t="s">
        <v>14</v>
      </c>
      <c r="F199" t="s">
        <v>481</v>
      </c>
      <c r="G199" t="s">
        <v>11</v>
      </c>
      <c r="H199" t="s">
        <v>19</v>
      </c>
    </row>
    <row r="200" spans="1:8" x14ac:dyDescent="0.3">
      <c r="A200" s="3">
        <v>45942</v>
      </c>
      <c r="B200" t="s">
        <v>467</v>
      </c>
      <c r="C200" t="s">
        <v>482</v>
      </c>
      <c r="D200" t="s">
        <v>11</v>
      </c>
      <c r="E200" t="s">
        <v>69</v>
      </c>
      <c r="F200" t="s">
        <v>483</v>
      </c>
      <c r="G200" t="s">
        <v>11</v>
      </c>
      <c r="H200" t="s">
        <v>14</v>
      </c>
    </row>
    <row r="201" spans="1:8" x14ac:dyDescent="0.3">
      <c r="A201" s="3">
        <v>76410</v>
      </c>
      <c r="B201" t="s">
        <v>467</v>
      </c>
      <c r="C201" t="s">
        <v>484</v>
      </c>
      <c r="D201" t="s">
        <v>11</v>
      </c>
      <c r="E201" t="s">
        <v>261</v>
      </c>
      <c r="F201" t="s">
        <v>485</v>
      </c>
      <c r="G201" t="s">
        <v>11</v>
      </c>
      <c r="H201" t="s">
        <v>14</v>
      </c>
    </row>
    <row r="202" spans="1:8" x14ac:dyDescent="0.3">
      <c r="A202" s="3">
        <v>150891</v>
      </c>
      <c r="B202" t="s">
        <v>486</v>
      </c>
      <c r="C202" t="s">
        <v>487</v>
      </c>
      <c r="D202" t="s">
        <v>11</v>
      </c>
      <c r="E202" t="s">
        <v>470</v>
      </c>
      <c r="F202" t="s">
        <v>488</v>
      </c>
      <c r="G202" t="s">
        <v>11</v>
      </c>
      <c r="H202" t="s">
        <v>11</v>
      </c>
    </row>
    <row r="203" spans="1:8" x14ac:dyDescent="0.3">
      <c r="A203" s="3">
        <v>486676</v>
      </c>
      <c r="B203" t="s">
        <v>486</v>
      </c>
      <c r="C203" t="s">
        <v>489</v>
      </c>
      <c r="D203" t="s">
        <v>11</v>
      </c>
      <c r="E203" t="s">
        <v>490</v>
      </c>
      <c r="F203" t="s">
        <v>491</v>
      </c>
      <c r="G203" t="s">
        <v>11</v>
      </c>
      <c r="H203" t="s">
        <v>27</v>
      </c>
    </row>
    <row r="204" spans="1:8" x14ac:dyDescent="0.3">
      <c r="A204" s="3">
        <v>450719</v>
      </c>
      <c r="B204" t="s">
        <v>486</v>
      </c>
      <c r="C204" t="s">
        <v>492</v>
      </c>
      <c r="D204" t="s">
        <v>11</v>
      </c>
      <c r="E204" t="s">
        <v>107</v>
      </c>
      <c r="F204" t="s">
        <v>493</v>
      </c>
      <c r="G204" t="s">
        <v>11</v>
      </c>
      <c r="H204" t="s">
        <v>27</v>
      </c>
    </row>
    <row r="205" spans="1:8" x14ac:dyDescent="0.3">
      <c r="A205" s="3">
        <v>43603</v>
      </c>
      <c r="B205" t="s">
        <v>486</v>
      </c>
      <c r="C205" t="s">
        <v>494</v>
      </c>
      <c r="D205" t="s">
        <v>11</v>
      </c>
      <c r="E205" t="s">
        <v>11</v>
      </c>
      <c r="F205" t="s">
        <v>495</v>
      </c>
      <c r="G205" t="s">
        <v>11</v>
      </c>
      <c r="H205" t="s">
        <v>11</v>
      </c>
    </row>
    <row r="206" spans="1:8" x14ac:dyDescent="0.3">
      <c r="A206" s="3">
        <v>171290</v>
      </c>
      <c r="B206" t="s">
        <v>486</v>
      </c>
      <c r="C206" t="s">
        <v>496</v>
      </c>
      <c r="D206" t="s">
        <v>11</v>
      </c>
      <c r="E206" t="s">
        <v>497</v>
      </c>
      <c r="F206" t="s">
        <v>498</v>
      </c>
      <c r="G206" t="s">
        <v>11</v>
      </c>
      <c r="H206" t="s">
        <v>54</v>
      </c>
    </row>
    <row r="207" spans="1:8" x14ac:dyDescent="0.3">
      <c r="A207" s="3">
        <v>81751</v>
      </c>
      <c r="B207" t="s">
        <v>486</v>
      </c>
      <c r="C207" t="s">
        <v>499</v>
      </c>
      <c r="D207" t="s">
        <v>11</v>
      </c>
      <c r="E207" t="s">
        <v>500</v>
      </c>
      <c r="F207" t="s">
        <v>501</v>
      </c>
      <c r="G207" t="s">
        <v>11</v>
      </c>
      <c r="H207" t="s">
        <v>490</v>
      </c>
    </row>
    <row r="208" spans="1:8" x14ac:dyDescent="0.3">
      <c r="A208" s="3">
        <v>47564</v>
      </c>
      <c r="B208" t="s">
        <v>486</v>
      </c>
      <c r="C208" t="s">
        <v>502</v>
      </c>
      <c r="D208" t="s">
        <v>11</v>
      </c>
      <c r="E208" t="s">
        <v>383</v>
      </c>
      <c r="F208" t="s">
        <v>503</v>
      </c>
      <c r="G208" t="s">
        <v>11</v>
      </c>
      <c r="H208" t="s">
        <v>16</v>
      </c>
    </row>
    <row r="209" spans="1:8" x14ac:dyDescent="0.3">
      <c r="A209" s="3">
        <v>59496</v>
      </c>
      <c r="B209" t="s">
        <v>486</v>
      </c>
      <c r="C209" t="s">
        <v>504</v>
      </c>
      <c r="D209" t="s">
        <v>11</v>
      </c>
      <c r="E209" t="s">
        <v>103</v>
      </c>
      <c r="F209" t="s">
        <v>505</v>
      </c>
      <c r="G209" t="s">
        <v>11</v>
      </c>
      <c r="H209" t="s">
        <v>64</v>
      </c>
    </row>
    <row r="210" spans="1:8" x14ac:dyDescent="0.3">
      <c r="A210" s="3">
        <v>151254</v>
      </c>
      <c r="B210" t="s">
        <v>486</v>
      </c>
      <c r="C210" t="s">
        <v>506</v>
      </c>
      <c r="D210" t="s">
        <v>11</v>
      </c>
      <c r="E210" t="s">
        <v>139</v>
      </c>
      <c r="F210" t="s">
        <v>507</v>
      </c>
      <c r="G210" t="s">
        <v>11</v>
      </c>
      <c r="H210" t="s">
        <v>27</v>
      </c>
    </row>
    <row r="211" spans="1:8" x14ac:dyDescent="0.3">
      <c r="A211" s="3">
        <v>52433</v>
      </c>
      <c r="B211" t="s">
        <v>486</v>
      </c>
      <c r="C211" t="s">
        <v>508</v>
      </c>
      <c r="D211" t="s">
        <v>11</v>
      </c>
      <c r="E211" t="s">
        <v>40</v>
      </c>
      <c r="F211" t="s">
        <v>143</v>
      </c>
      <c r="G211" t="s">
        <v>11</v>
      </c>
      <c r="H211" t="s">
        <v>14</v>
      </c>
    </row>
    <row r="212" spans="1:8" x14ac:dyDescent="0.3">
      <c r="A212" s="3">
        <v>61423</v>
      </c>
      <c r="B212" t="s">
        <v>509</v>
      </c>
      <c r="C212" t="s">
        <v>510</v>
      </c>
      <c r="D212" t="s">
        <v>19</v>
      </c>
      <c r="E212" t="s">
        <v>436</v>
      </c>
      <c r="F212" t="s">
        <v>511</v>
      </c>
      <c r="G212" t="s">
        <v>19</v>
      </c>
      <c r="H212" t="s">
        <v>64</v>
      </c>
    </row>
    <row r="213" spans="1:8" x14ac:dyDescent="0.3">
      <c r="A213" s="3">
        <v>463528</v>
      </c>
      <c r="B213" t="s">
        <v>509</v>
      </c>
      <c r="C213" t="s">
        <v>512</v>
      </c>
      <c r="D213" t="s">
        <v>11</v>
      </c>
      <c r="E213" t="s">
        <v>27</v>
      </c>
      <c r="F213" t="s">
        <v>513</v>
      </c>
      <c r="G213" t="s">
        <v>11</v>
      </c>
      <c r="H213" t="s">
        <v>19</v>
      </c>
    </row>
    <row r="214" spans="1:8" x14ac:dyDescent="0.3">
      <c r="A214" s="3">
        <v>447208</v>
      </c>
      <c r="B214" t="s">
        <v>509</v>
      </c>
      <c r="C214" t="s">
        <v>514</v>
      </c>
      <c r="D214" t="s">
        <v>11</v>
      </c>
      <c r="E214" t="s">
        <v>215</v>
      </c>
      <c r="F214" t="s">
        <v>180</v>
      </c>
      <c r="G214" t="s">
        <v>11</v>
      </c>
      <c r="H214" t="s">
        <v>37</v>
      </c>
    </row>
    <row r="215" spans="1:8" x14ac:dyDescent="0.3">
      <c r="A215" s="3">
        <v>160630</v>
      </c>
      <c r="B215" t="s">
        <v>509</v>
      </c>
      <c r="C215" t="s">
        <v>515</v>
      </c>
      <c r="D215" t="s">
        <v>11</v>
      </c>
      <c r="E215" t="s">
        <v>118</v>
      </c>
      <c r="F215" t="s">
        <v>516</v>
      </c>
      <c r="G215" t="s">
        <v>11</v>
      </c>
      <c r="H215" t="s">
        <v>27</v>
      </c>
    </row>
    <row r="216" spans="1:8" x14ac:dyDescent="0.3">
      <c r="A216" s="3">
        <v>84542</v>
      </c>
      <c r="B216" t="s">
        <v>509</v>
      </c>
      <c r="C216" t="s">
        <v>517</v>
      </c>
      <c r="D216" t="s">
        <v>11</v>
      </c>
      <c r="E216" t="s">
        <v>37</v>
      </c>
      <c r="F216" t="s">
        <v>518</v>
      </c>
      <c r="G216" t="s">
        <v>11</v>
      </c>
      <c r="H216" t="s">
        <v>19</v>
      </c>
    </row>
    <row r="217" spans="1:8" x14ac:dyDescent="0.3">
      <c r="A217" s="3">
        <v>67646</v>
      </c>
      <c r="B217" t="s">
        <v>509</v>
      </c>
      <c r="C217" t="s">
        <v>519</v>
      </c>
      <c r="D217" t="s">
        <v>11</v>
      </c>
      <c r="E217" t="s">
        <v>37</v>
      </c>
      <c r="F217" t="s">
        <v>520</v>
      </c>
      <c r="G217" t="s">
        <v>11</v>
      </c>
      <c r="H217" t="s">
        <v>19</v>
      </c>
    </row>
    <row r="218" spans="1:8" x14ac:dyDescent="0.3">
      <c r="A218" s="3">
        <v>51626</v>
      </c>
      <c r="B218" t="s">
        <v>509</v>
      </c>
      <c r="C218" t="s">
        <v>521</v>
      </c>
      <c r="D218" t="s">
        <v>11</v>
      </c>
      <c r="E218" t="s">
        <v>522</v>
      </c>
      <c r="F218" t="s">
        <v>523</v>
      </c>
      <c r="G218" t="s">
        <v>11</v>
      </c>
      <c r="H218" t="s">
        <v>152</v>
      </c>
    </row>
    <row r="219" spans="1:8" x14ac:dyDescent="0.3">
      <c r="A219" s="3">
        <v>566729</v>
      </c>
      <c r="B219" t="s">
        <v>509</v>
      </c>
      <c r="C219" t="s">
        <v>524</v>
      </c>
      <c r="D219" t="s">
        <v>11</v>
      </c>
      <c r="E219" t="s">
        <v>525</v>
      </c>
      <c r="F219" t="s">
        <v>526</v>
      </c>
      <c r="G219" t="s">
        <v>11</v>
      </c>
      <c r="H219" t="s">
        <v>16</v>
      </c>
    </row>
    <row r="220" spans="1:8" x14ac:dyDescent="0.3">
      <c r="A220" s="3">
        <v>566705</v>
      </c>
      <c r="B220" t="s">
        <v>509</v>
      </c>
      <c r="C220" t="s">
        <v>527</v>
      </c>
      <c r="D220" t="s">
        <v>11</v>
      </c>
      <c r="E220" t="s">
        <v>152</v>
      </c>
      <c r="F220" t="s">
        <v>528</v>
      </c>
      <c r="G220" t="s">
        <v>11</v>
      </c>
      <c r="H220" t="s">
        <v>35</v>
      </c>
    </row>
    <row r="221" spans="1:8" x14ac:dyDescent="0.3">
      <c r="A221" s="3">
        <v>459767</v>
      </c>
      <c r="B221" t="s">
        <v>509</v>
      </c>
      <c r="C221" t="s">
        <v>529</v>
      </c>
      <c r="D221" t="s">
        <v>11</v>
      </c>
      <c r="E221" t="s">
        <v>530</v>
      </c>
      <c r="F221" t="s">
        <v>531</v>
      </c>
      <c r="G221" t="s">
        <v>11</v>
      </c>
      <c r="H221" t="s">
        <v>16</v>
      </c>
    </row>
    <row r="222" spans="1:8" x14ac:dyDescent="0.3">
      <c r="A222" s="3">
        <v>603519</v>
      </c>
      <c r="B222" t="s">
        <v>532</v>
      </c>
      <c r="C222" t="s">
        <v>533</v>
      </c>
      <c r="D222" t="s">
        <v>11</v>
      </c>
      <c r="E222" t="s">
        <v>534</v>
      </c>
      <c r="F222" t="s">
        <v>535</v>
      </c>
      <c r="G222" t="s">
        <v>11</v>
      </c>
      <c r="H222" t="s">
        <v>37</v>
      </c>
    </row>
    <row r="223" spans="1:8" x14ac:dyDescent="0.3">
      <c r="A223" s="3">
        <v>42463</v>
      </c>
      <c r="B223" t="s">
        <v>532</v>
      </c>
      <c r="C223" t="s">
        <v>536</v>
      </c>
      <c r="D223" t="s">
        <v>11</v>
      </c>
      <c r="E223" t="s">
        <v>78</v>
      </c>
      <c r="F223" t="s">
        <v>537</v>
      </c>
      <c r="G223" t="s">
        <v>11</v>
      </c>
      <c r="H223" t="s">
        <v>35</v>
      </c>
    </row>
    <row r="224" spans="1:8" x14ac:dyDescent="0.3">
      <c r="A224" s="3">
        <v>155370</v>
      </c>
      <c r="B224" t="s">
        <v>532</v>
      </c>
      <c r="C224" t="s">
        <v>538</v>
      </c>
      <c r="D224" t="s">
        <v>11</v>
      </c>
      <c r="E224" t="s">
        <v>64</v>
      </c>
      <c r="F224" t="s">
        <v>539</v>
      </c>
      <c r="G224" t="s">
        <v>11</v>
      </c>
      <c r="H224" t="s">
        <v>19</v>
      </c>
    </row>
    <row r="225" spans="1:8" x14ac:dyDescent="0.3">
      <c r="A225" s="3">
        <v>52517</v>
      </c>
      <c r="B225" t="s">
        <v>532</v>
      </c>
      <c r="C225" t="s">
        <v>540</v>
      </c>
      <c r="D225" t="s">
        <v>11</v>
      </c>
      <c r="E225" t="s">
        <v>326</v>
      </c>
      <c r="F225" t="s">
        <v>541</v>
      </c>
      <c r="G225" t="s">
        <v>11</v>
      </c>
      <c r="H225" t="s">
        <v>99</v>
      </c>
    </row>
    <row r="226" spans="1:8" x14ac:dyDescent="0.3">
      <c r="A226" s="3">
        <v>169579</v>
      </c>
      <c r="B226" t="s">
        <v>532</v>
      </c>
      <c r="C226" t="s">
        <v>542</v>
      </c>
      <c r="D226" t="s">
        <v>11</v>
      </c>
      <c r="E226" t="s">
        <v>19</v>
      </c>
      <c r="F226" t="s">
        <v>543</v>
      </c>
      <c r="G226" t="s">
        <v>11</v>
      </c>
      <c r="H226" t="s">
        <v>11</v>
      </c>
    </row>
    <row r="227" spans="1:8" x14ac:dyDescent="0.3">
      <c r="A227" s="3">
        <v>48912</v>
      </c>
      <c r="B227" t="s">
        <v>532</v>
      </c>
      <c r="C227" t="s">
        <v>544</v>
      </c>
      <c r="D227" t="s">
        <v>11</v>
      </c>
      <c r="E227" t="s">
        <v>525</v>
      </c>
      <c r="F227" t="s">
        <v>545</v>
      </c>
      <c r="G227" t="s">
        <v>11</v>
      </c>
      <c r="H227" t="s">
        <v>74</v>
      </c>
    </row>
    <row r="228" spans="1:8" x14ac:dyDescent="0.3">
      <c r="A228" s="3">
        <v>148030</v>
      </c>
      <c r="B228" t="s">
        <v>532</v>
      </c>
      <c r="C228" t="s">
        <v>546</v>
      </c>
      <c r="D228" t="s">
        <v>11</v>
      </c>
      <c r="E228" t="s">
        <v>16</v>
      </c>
      <c r="F228" t="s">
        <v>547</v>
      </c>
      <c r="G228" t="s">
        <v>11</v>
      </c>
      <c r="H228" t="s">
        <v>19</v>
      </c>
    </row>
    <row r="229" spans="1:8" x14ac:dyDescent="0.3">
      <c r="A229" s="3">
        <v>62408</v>
      </c>
      <c r="B229" t="s">
        <v>532</v>
      </c>
      <c r="C229" t="s">
        <v>548</v>
      </c>
      <c r="D229" t="s">
        <v>11</v>
      </c>
      <c r="E229" t="s">
        <v>336</v>
      </c>
      <c r="F229" t="s">
        <v>478</v>
      </c>
      <c r="G229" t="s">
        <v>11</v>
      </c>
      <c r="H229" t="s">
        <v>35</v>
      </c>
    </row>
    <row r="230" spans="1:8" x14ac:dyDescent="0.3">
      <c r="A230" s="3">
        <v>44495</v>
      </c>
      <c r="B230" t="s">
        <v>532</v>
      </c>
      <c r="C230" t="s">
        <v>549</v>
      </c>
      <c r="D230" t="s">
        <v>11</v>
      </c>
      <c r="E230" t="s">
        <v>14</v>
      </c>
      <c r="F230" t="s">
        <v>67</v>
      </c>
      <c r="G230" t="s">
        <v>11</v>
      </c>
      <c r="H230" t="s">
        <v>19</v>
      </c>
    </row>
    <row r="231" spans="1:8" x14ac:dyDescent="0.3">
      <c r="A231" s="3">
        <v>454859</v>
      </c>
      <c r="B231" t="s">
        <v>550</v>
      </c>
      <c r="C231" t="s">
        <v>551</v>
      </c>
      <c r="D231" t="s">
        <v>11</v>
      </c>
      <c r="E231" t="s">
        <v>43</v>
      </c>
      <c r="F231" t="s">
        <v>552</v>
      </c>
      <c r="G231" t="s">
        <v>11</v>
      </c>
      <c r="H231" t="s">
        <v>14</v>
      </c>
    </row>
    <row r="232" spans="1:8" x14ac:dyDescent="0.3">
      <c r="A232" s="3">
        <v>486619</v>
      </c>
      <c r="B232" t="s">
        <v>550</v>
      </c>
      <c r="C232" t="s">
        <v>553</v>
      </c>
      <c r="D232" t="s">
        <v>11</v>
      </c>
      <c r="E232" t="s">
        <v>250</v>
      </c>
      <c r="F232" t="s">
        <v>554</v>
      </c>
      <c r="G232" t="s">
        <v>11</v>
      </c>
      <c r="H232" t="s">
        <v>27</v>
      </c>
    </row>
    <row r="233" spans="1:8" x14ac:dyDescent="0.3">
      <c r="A233" s="3">
        <v>459135</v>
      </c>
      <c r="B233" t="s">
        <v>550</v>
      </c>
      <c r="C233" t="s">
        <v>555</v>
      </c>
      <c r="D233" t="s">
        <v>11</v>
      </c>
      <c r="E233" t="s">
        <v>43</v>
      </c>
      <c r="F233" t="s">
        <v>556</v>
      </c>
      <c r="G233" t="s">
        <v>11</v>
      </c>
      <c r="H233" t="s">
        <v>19</v>
      </c>
    </row>
    <row r="234" spans="1:8" x14ac:dyDescent="0.3">
      <c r="A234" s="3">
        <v>74010</v>
      </c>
      <c r="B234" t="s">
        <v>550</v>
      </c>
      <c r="C234" t="s">
        <v>557</v>
      </c>
      <c r="D234" t="s">
        <v>19</v>
      </c>
      <c r="E234" t="s">
        <v>558</v>
      </c>
      <c r="F234" t="s">
        <v>559</v>
      </c>
      <c r="G234" t="s">
        <v>11</v>
      </c>
      <c r="H234" t="s">
        <v>247</v>
      </c>
    </row>
    <row r="235" spans="1:8" x14ac:dyDescent="0.3">
      <c r="A235" s="3">
        <v>58859</v>
      </c>
      <c r="B235" t="s">
        <v>550</v>
      </c>
      <c r="C235" t="s">
        <v>560</v>
      </c>
      <c r="D235" t="s">
        <v>11</v>
      </c>
      <c r="E235" t="s">
        <v>321</v>
      </c>
      <c r="F235" t="s">
        <v>561</v>
      </c>
      <c r="G235" t="s">
        <v>11</v>
      </c>
      <c r="H235" t="s">
        <v>31</v>
      </c>
    </row>
    <row r="236" spans="1:8" x14ac:dyDescent="0.3">
      <c r="A236" s="3">
        <v>167349</v>
      </c>
      <c r="B236" t="s">
        <v>550</v>
      </c>
      <c r="C236" t="s">
        <v>562</v>
      </c>
      <c r="D236" t="s">
        <v>11</v>
      </c>
      <c r="E236" t="s">
        <v>89</v>
      </c>
      <c r="F236" t="s">
        <v>563</v>
      </c>
      <c r="G236" t="s">
        <v>11</v>
      </c>
      <c r="H236" t="s">
        <v>27</v>
      </c>
    </row>
    <row r="237" spans="1:8" x14ac:dyDescent="0.3">
      <c r="A237" s="3">
        <v>62489</v>
      </c>
      <c r="B237" t="s">
        <v>550</v>
      </c>
      <c r="C237" t="s">
        <v>564</v>
      </c>
      <c r="D237" t="s">
        <v>11</v>
      </c>
      <c r="E237" t="s">
        <v>261</v>
      </c>
      <c r="F237" t="s">
        <v>340</v>
      </c>
      <c r="G237" t="s">
        <v>11</v>
      </c>
      <c r="H237" t="s">
        <v>14</v>
      </c>
    </row>
    <row r="238" spans="1:8" x14ac:dyDescent="0.3">
      <c r="A238" s="3">
        <v>93457</v>
      </c>
      <c r="B238" t="s">
        <v>550</v>
      </c>
      <c r="C238" t="s">
        <v>565</v>
      </c>
      <c r="D238" t="s">
        <v>11</v>
      </c>
      <c r="E238" t="s">
        <v>16</v>
      </c>
      <c r="F238" t="s">
        <v>566</v>
      </c>
      <c r="G238" t="s">
        <v>11</v>
      </c>
      <c r="H238" t="s">
        <v>19</v>
      </c>
    </row>
    <row r="239" spans="1:8" x14ac:dyDescent="0.3">
      <c r="A239" s="3">
        <v>59383</v>
      </c>
      <c r="B239" t="s">
        <v>550</v>
      </c>
      <c r="C239" t="s">
        <v>567</v>
      </c>
      <c r="D239" t="s">
        <v>11</v>
      </c>
      <c r="E239" t="s">
        <v>568</v>
      </c>
      <c r="F239" t="s">
        <v>569</v>
      </c>
      <c r="G239" t="s">
        <v>11</v>
      </c>
      <c r="H239" t="s">
        <v>27</v>
      </c>
    </row>
    <row r="240" spans="1:8" x14ac:dyDescent="0.3">
      <c r="A240" s="3">
        <v>78367</v>
      </c>
      <c r="B240" t="s">
        <v>550</v>
      </c>
      <c r="C240" t="s">
        <v>570</v>
      </c>
      <c r="D240" t="s">
        <v>11</v>
      </c>
      <c r="E240" t="s">
        <v>247</v>
      </c>
      <c r="F240" t="s">
        <v>571</v>
      </c>
      <c r="G240" t="s">
        <v>11</v>
      </c>
      <c r="H240" t="s">
        <v>27</v>
      </c>
    </row>
    <row r="241" spans="1:8" x14ac:dyDescent="0.3">
      <c r="A241" s="3">
        <v>47719</v>
      </c>
      <c r="B241" t="s">
        <v>572</v>
      </c>
      <c r="C241" t="s">
        <v>573</v>
      </c>
      <c r="D241" t="s">
        <v>11</v>
      </c>
      <c r="E241" t="s">
        <v>49</v>
      </c>
      <c r="F241" t="s">
        <v>574</v>
      </c>
      <c r="G241" t="s">
        <v>11</v>
      </c>
      <c r="H241" t="s">
        <v>35</v>
      </c>
    </row>
    <row r="242" spans="1:8" x14ac:dyDescent="0.3">
      <c r="A242" s="3">
        <v>159090</v>
      </c>
      <c r="B242" t="s">
        <v>572</v>
      </c>
      <c r="C242" t="s">
        <v>575</v>
      </c>
      <c r="D242" t="s">
        <v>11</v>
      </c>
      <c r="E242" t="s">
        <v>74</v>
      </c>
      <c r="F242" t="s">
        <v>576</v>
      </c>
      <c r="G242" t="s">
        <v>11</v>
      </c>
      <c r="H242" t="s">
        <v>35</v>
      </c>
    </row>
    <row r="243" spans="1:8" x14ac:dyDescent="0.3">
      <c r="A243" s="3">
        <v>170691</v>
      </c>
      <c r="B243" t="s">
        <v>572</v>
      </c>
      <c r="C243" t="s">
        <v>577</v>
      </c>
      <c r="D243" t="s">
        <v>11</v>
      </c>
      <c r="E243" t="s">
        <v>578</v>
      </c>
      <c r="F243" t="s">
        <v>579</v>
      </c>
      <c r="G243" t="s">
        <v>11</v>
      </c>
      <c r="H243" t="s">
        <v>14</v>
      </c>
    </row>
    <row r="244" spans="1:8" x14ac:dyDescent="0.3">
      <c r="A244" s="3">
        <v>84523</v>
      </c>
      <c r="B244" t="s">
        <v>572</v>
      </c>
      <c r="C244" t="s">
        <v>580</v>
      </c>
      <c r="D244" t="s">
        <v>11</v>
      </c>
      <c r="E244" t="s">
        <v>27</v>
      </c>
      <c r="F244" t="s">
        <v>581</v>
      </c>
      <c r="G244" t="s">
        <v>11</v>
      </c>
      <c r="H244" t="s">
        <v>19</v>
      </c>
    </row>
    <row r="245" spans="1:8" x14ac:dyDescent="0.3">
      <c r="A245" s="3">
        <v>170511</v>
      </c>
      <c r="B245" t="s">
        <v>572</v>
      </c>
      <c r="C245" t="s">
        <v>582</v>
      </c>
      <c r="D245" t="s">
        <v>19</v>
      </c>
      <c r="E245" t="s">
        <v>46</v>
      </c>
      <c r="F245" t="s">
        <v>583</v>
      </c>
      <c r="G245" t="s">
        <v>19</v>
      </c>
      <c r="H245" t="s">
        <v>19</v>
      </c>
    </row>
    <row r="246" spans="1:8" x14ac:dyDescent="0.3">
      <c r="A246" s="3">
        <v>47700</v>
      </c>
      <c r="B246" t="s">
        <v>572</v>
      </c>
      <c r="C246" t="s">
        <v>584</v>
      </c>
      <c r="D246" t="s">
        <v>11</v>
      </c>
      <c r="E246" t="s">
        <v>585</v>
      </c>
      <c r="F246" t="s">
        <v>586</v>
      </c>
      <c r="G246" t="s">
        <v>11</v>
      </c>
      <c r="H246" t="s">
        <v>587</v>
      </c>
    </row>
    <row r="247" spans="1:8" x14ac:dyDescent="0.3">
      <c r="A247" s="3">
        <v>462835</v>
      </c>
      <c r="B247" t="s">
        <v>572</v>
      </c>
      <c r="C247" t="s">
        <v>588</v>
      </c>
      <c r="D247" t="s">
        <v>11</v>
      </c>
      <c r="E247" t="s">
        <v>31</v>
      </c>
      <c r="F247" t="s">
        <v>589</v>
      </c>
      <c r="G247" t="s">
        <v>11</v>
      </c>
      <c r="H247" t="s">
        <v>14</v>
      </c>
    </row>
    <row r="248" spans="1:8" x14ac:dyDescent="0.3">
      <c r="A248" s="3">
        <v>149666</v>
      </c>
      <c r="B248" t="s">
        <v>572</v>
      </c>
      <c r="C248" t="s">
        <v>590</v>
      </c>
      <c r="D248" t="s">
        <v>11</v>
      </c>
      <c r="E248" t="s">
        <v>215</v>
      </c>
      <c r="F248" t="s">
        <v>591</v>
      </c>
      <c r="G248" t="s">
        <v>11</v>
      </c>
      <c r="H248" t="s">
        <v>16</v>
      </c>
    </row>
    <row r="249" spans="1:8" x14ac:dyDescent="0.3">
      <c r="A249" s="3">
        <v>53965</v>
      </c>
      <c r="B249" t="s">
        <v>572</v>
      </c>
      <c r="C249" t="s">
        <v>592</v>
      </c>
      <c r="D249" t="s">
        <v>11</v>
      </c>
      <c r="E249" t="s">
        <v>316</v>
      </c>
      <c r="F249" t="s">
        <v>593</v>
      </c>
      <c r="G249" t="s">
        <v>11</v>
      </c>
      <c r="H249" t="s">
        <v>27</v>
      </c>
    </row>
    <row r="250" spans="1:8" x14ac:dyDescent="0.3">
      <c r="A250" s="3">
        <v>151857</v>
      </c>
      <c r="B250" t="s">
        <v>572</v>
      </c>
      <c r="C250" t="s">
        <v>594</v>
      </c>
      <c r="D250" t="s">
        <v>19</v>
      </c>
      <c r="E250" t="s">
        <v>513</v>
      </c>
      <c r="F250" t="s">
        <v>595</v>
      </c>
      <c r="G250" t="s">
        <v>19</v>
      </c>
      <c r="H250" t="s">
        <v>69</v>
      </c>
    </row>
    <row r="251" spans="1:8" x14ac:dyDescent="0.3">
      <c r="A251" s="3">
        <v>44749</v>
      </c>
      <c r="B251" t="s">
        <v>596</v>
      </c>
      <c r="C251" t="s">
        <v>597</v>
      </c>
      <c r="D251" t="s">
        <v>11</v>
      </c>
      <c r="E251" t="s">
        <v>598</v>
      </c>
      <c r="F251" t="s">
        <v>599</v>
      </c>
      <c r="G251" t="s">
        <v>19</v>
      </c>
      <c r="H251" t="s">
        <v>64</v>
      </c>
    </row>
    <row r="252" spans="1:8" x14ac:dyDescent="0.3">
      <c r="A252" s="3">
        <v>147573</v>
      </c>
      <c r="B252" t="s">
        <v>596</v>
      </c>
      <c r="C252" t="s">
        <v>30</v>
      </c>
      <c r="D252" t="s">
        <v>11</v>
      </c>
      <c r="E252" t="s">
        <v>14</v>
      </c>
      <c r="F252" t="s">
        <v>522</v>
      </c>
      <c r="G252" t="s">
        <v>11</v>
      </c>
      <c r="H252" t="s">
        <v>11</v>
      </c>
    </row>
    <row r="253" spans="1:8" x14ac:dyDescent="0.3">
      <c r="A253" s="3">
        <v>550021</v>
      </c>
      <c r="B253" t="s">
        <v>596</v>
      </c>
      <c r="C253" t="s">
        <v>600</v>
      </c>
      <c r="D253" t="s">
        <v>11</v>
      </c>
      <c r="E253" t="s">
        <v>19</v>
      </c>
      <c r="F253" t="s">
        <v>601</v>
      </c>
      <c r="G253" t="s">
        <v>11</v>
      </c>
      <c r="H253" t="s">
        <v>14</v>
      </c>
    </row>
    <row r="254" spans="1:8" x14ac:dyDescent="0.3">
      <c r="A254" s="3">
        <v>489552</v>
      </c>
      <c r="B254" t="s">
        <v>596</v>
      </c>
      <c r="C254" t="s">
        <v>602</v>
      </c>
      <c r="D254" t="s">
        <v>11</v>
      </c>
      <c r="E254" t="s">
        <v>27</v>
      </c>
      <c r="F254" t="s">
        <v>603</v>
      </c>
      <c r="G254" t="s">
        <v>11</v>
      </c>
      <c r="H254" t="s">
        <v>19</v>
      </c>
    </row>
    <row r="255" spans="1:8" x14ac:dyDescent="0.3">
      <c r="A255" s="3">
        <v>441046</v>
      </c>
      <c r="B255" t="s">
        <v>596</v>
      </c>
      <c r="C255" t="s">
        <v>604</v>
      </c>
      <c r="D255" t="s">
        <v>11</v>
      </c>
      <c r="E255" t="s">
        <v>261</v>
      </c>
      <c r="F255" t="s">
        <v>605</v>
      </c>
      <c r="G255" t="s">
        <v>11</v>
      </c>
      <c r="H255" t="s">
        <v>14</v>
      </c>
    </row>
    <row r="256" spans="1:8" x14ac:dyDescent="0.3">
      <c r="A256" s="3">
        <v>45621</v>
      </c>
      <c r="B256" t="s">
        <v>596</v>
      </c>
      <c r="C256" t="s">
        <v>606</v>
      </c>
      <c r="D256" t="s">
        <v>11</v>
      </c>
      <c r="E256" t="s">
        <v>316</v>
      </c>
      <c r="F256" t="s">
        <v>607</v>
      </c>
      <c r="G256" t="s">
        <v>11</v>
      </c>
      <c r="H256" t="s">
        <v>27</v>
      </c>
    </row>
    <row r="257" spans="1:8" x14ac:dyDescent="0.3">
      <c r="A257" s="3">
        <v>48276</v>
      </c>
      <c r="B257" t="s">
        <v>596</v>
      </c>
      <c r="C257" t="s">
        <v>608</v>
      </c>
      <c r="D257" t="s">
        <v>11</v>
      </c>
      <c r="E257" t="s">
        <v>170</v>
      </c>
      <c r="F257" t="s">
        <v>609</v>
      </c>
      <c r="G257" t="s">
        <v>11</v>
      </c>
      <c r="H257" t="s">
        <v>37</v>
      </c>
    </row>
    <row r="258" spans="1:8" x14ac:dyDescent="0.3">
      <c r="A258" s="3">
        <v>50778</v>
      </c>
      <c r="B258" t="s">
        <v>596</v>
      </c>
      <c r="C258" t="s">
        <v>610</v>
      </c>
      <c r="D258" t="s">
        <v>11</v>
      </c>
      <c r="E258" t="s">
        <v>40</v>
      </c>
      <c r="F258" t="s">
        <v>611</v>
      </c>
      <c r="G258" t="s">
        <v>11</v>
      </c>
      <c r="H258" t="s">
        <v>14</v>
      </c>
    </row>
    <row r="259" spans="1:8" x14ac:dyDescent="0.3">
      <c r="A259" s="3">
        <v>59397</v>
      </c>
      <c r="B259" t="s">
        <v>596</v>
      </c>
      <c r="C259" t="s">
        <v>612</v>
      </c>
      <c r="D259" t="s">
        <v>11</v>
      </c>
      <c r="E259" t="s">
        <v>99</v>
      </c>
      <c r="F259" t="s">
        <v>552</v>
      </c>
      <c r="G259" t="s">
        <v>11</v>
      </c>
      <c r="H259" t="s">
        <v>14</v>
      </c>
    </row>
    <row r="260" spans="1:8" x14ac:dyDescent="0.3">
      <c r="A260" s="3">
        <v>452501</v>
      </c>
      <c r="B260" t="s">
        <v>613</v>
      </c>
      <c r="C260" t="s">
        <v>614</v>
      </c>
      <c r="D260" t="s">
        <v>11</v>
      </c>
      <c r="E260" t="s">
        <v>336</v>
      </c>
      <c r="F260" t="s">
        <v>615</v>
      </c>
      <c r="G260" t="s">
        <v>11</v>
      </c>
      <c r="H260" t="s">
        <v>14</v>
      </c>
    </row>
    <row r="261" spans="1:8" x14ac:dyDescent="0.3">
      <c r="A261" s="3">
        <v>59774</v>
      </c>
      <c r="B261" t="s">
        <v>613</v>
      </c>
      <c r="C261" t="s">
        <v>616</v>
      </c>
      <c r="D261" t="s">
        <v>19</v>
      </c>
      <c r="E261" t="s">
        <v>46</v>
      </c>
      <c r="F261" t="s">
        <v>617</v>
      </c>
      <c r="G261" t="s">
        <v>19</v>
      </c>
      <c r="H261" t="s">
        <v>14</v>
      </c>
    </row>
    <row r="262" spans="1:8" x14ac:dyDescent="0.3">
      <c r="A262" s="3">
        <v>463359</v>
      </c>
      <c r="B262" t="s">
        <v>613</v>
      </c>
      <c r="C262" t="s">
        <v>618</v>
      </c>
      <c r="D262" t="s">
        <v>11</v>
      </c>
      <c r="E262" t="s">
        <v>619</v>
      </c>
      <c r="F262" t="s">
        <v>620</v>
      </c>
      <c r="G262" t="s">
        <v>11</v>
      </c>
      <c r="H262" t="s">
        <v>99</v>
      </c>
    </row>
    <row r="263" spans="1:8" x14ac:dyDescent="0.3">
      <c r="A263" s="3">
        <v>159146</v>
      </c>
      <c r="B263" t="s">
        <v>613</v>
      </c>
      <c r="C263" t="s">
        <v>621</v>
      </c>
      <c r="D263" t="s">
        <v>11</v>
      </c>
      <c r="E263" t="s">
        <v>253</v>
      </c>
      <c r="F263" t="s">
        <v>622</v>
      </c>
      <c r="G263" t="s">
        <v>11</v>
      </c>
      <c r="H263" t="s">
        <v>14</v>
      </c>
    </row>
    <row r="264" spans="1:8" x14ac:dyDescent="0.3">
      <c r="A264" s="3">
        <v>465141</v>
      </c>
      <c r="B264" t="s">
        <v>613</v>
      </c>
      <c r="C264" t="s">
        <v>623</v>
      </c>
      <c r="D264" t="s">
        <v>11</v>
      </c>
      <c r="E264" t="s">
        <v>46</v>
      </c>
      <c r="F264" t="s">
        <v>624</v>
      </c>
      <c r="G264" t="s">
        <v>11</v>
      </c>
      <c r="H264" t="s">
        <v>19</v>
      </c>
    </row>
    <row r="265" spans="1:8" x14ac:dyDescent="0.3">
      <c r="A265" s="3">
        <v>541588</v>
      </c>
      <c r="B265" t="s">
        <v>613</v>
      </c>
      <c r="C265" t="s">
        <v>625</v>
      </c>
      <c r="D265" t="s">
        <v>11</v>
      </c>
      <c r="E265" t="s">
        <v>626</v>
      </c>
      <c r="F265" t="s">
        <v>627</v>
      </c>
      <c r="G265" t="s">
        <v>11</v>
      </c>
      <c r="H265" t="s">
        <v>16</v>
      </c>
    </row>
    <row r="266" spans="1:8" x14ac:dyDescent="0.3">
      <c r="A266" s="3">
        <v>457532</v>
      </c>
      <c r="B266" t="s">
        <v>613</v>
      </c>
      <c r="C266" t="s">
        <v>628</v>
      </c>
      <c r="D266" t="s">
        <v>11</v>
      </c>
      <c r="E266" t="s">
        <v>253</v>
      </c>
      <c r="F266" t="s">
        <v>629</v>
      </c>
      <c r="G266" t="s">
        <v>11</v>
      </c>
      <c r="H266" t="s">
        <v>35</v>
      </c>
    </row>
    <row r="267" spans="1:8" x14ac:dyDescent="0.3">
      <c r="A267" s="3">
        <v>151560</v>
      </c>
      <c r="B267" t="s">
        <v>613</v>
      </c>
      <c r="C267" t="s">
        <v>630</v>
      </c>
      <c r="D267" t="s">
        <v>11</v>
      </c>
      <c r="E267" t="s">
        <v>40</v>
      </c>
      <c r="F267" t="s">
        <v>631</v>
      </c>
      <c r="G267" t="s">
        <v>11</v>
      </c>
      <c r="H267" t="s">
        <v>27</v>
      </c>
    </row>
    <row r="268" spans="1:8" x14ac:dyDescent="0.3">
      <c r="A268" s="3">
        <v>627822</v>
      </c>
      <c r="B268" t="s">
        <v>613</v>
      </c>
      <c r="C268" t="s">
        <v>632</v>
      </c>
      <c r="D268" t="s">
        <v>19</v>
      </c>
      <c r="E268" t="s">
        <v>19</v>
      </c>
      <c r="F268" t="s">
        <v>139</v>
      </c>
      <c r="G268" t="s">
        <v>19</v>
      </c>
      <c r="H268" t="s">
        <v>19</v>
      </c>
    </row>
    <row r="269" spans="1:8" x14ac:dyDescent="0.3">
      <c r="A269" s="3">
        <v>489104</v>
      </c>
      <c r="B269" t="s">
        <v>613</v>
      </c>
      <c r="C269" t="s">
        <v>633</v>
      </c>
      <c r="D269" t="s">
        <v>11</v>
      </c>
      <c r="E269" t="s">
        <v>634</v>
      </c>
      <c r="F269" t="s">
        <v>635</v>
      </c>
      <c r="G269" t="s">
        <v>11</v>
      </c>
      <c r="H269" t="s">
        <v>37</v>
      </c>
    </row>
    <row r="270" spans="1:8" x14ac:dyDescent="0.3">
      <c r="A270" s="3">
        <v>596321</v>
      </c>
      <c r="B270" t="s">
        <v>636</v>
      </c>
      <c r="C270" t="s">
        <v>637</v>
      </c>
      <c r="D270" t="s">
        <v>19</v>
      </c>
      <c r="E270" t="s">
        <v>99</v>
      </c>
      <c r="F270" t="s">
        <v>638</v>
      </c>
      <c r="G270" t="s">
        <v>19</v>
      </c>
      <c r="H270" t="s">
        <v>64</v>
      </c>
    </row>
    <row r="271" spans="1:8" x14ac:dyDescent="0.3">
      <c r="A271" s="3">
        <v>76453</v>
      </c>
      <c r="B271" t="s">
        <v>636</v>
      </c>
      <c r="C271" t="s">
        <v>639</v>
      </c>
      <c r="D271" t="s">
        <v>11</v>
      </c>
      <c r="E271" t="s">
        <v>640</v>
      </c>
      <c r="F271" t="s">
        <v>641</v>
      </c>
      <c r="G271" t="s">
        <v>19</v>
      </c>
      <c r="H271" t="s">
        <v>152</v>
      </c>
    </row>
    <row r="272" spans="1:8" x14ac:dyDescent="0.3">
      <c r="A272" s="3">
        <v>79951</v>
      </c>
      <c r="B272" t="s">
        <v>636</v>
      </c>
      <c r="C272" t="s">
        <v>642</v>
      </c>
      <c r="D272" t="s">
        <v>11</v>
      </c>
      <c r="E272" t="s">
        <v>643</v>
      </c>
      <c r="F272" t="s">
        <v>644</v>
      </c>
      <c r="G272" t="s">
        <v>11</v>
      </c>
      <c r="H272" t="s">
        <v>46</v>
      </c>
    </row>
    <row r="273" spans="1:8" x14ac:dyDescent="0.3">
      <c r="A273" s="3">
        <v>170766</v>
      </c>
      <c r="B273" t="s">
        <v>636</v>
      </c>
      <c r="C273" t="s">
        <v>645</v>
      </c>
      <c r="D273" t="s">
        <v>11</v>
      </c>
      <c r="E273" t="s">
        <v>170</v>
      </c>
      <c r="F273" t="s">
        <v>411</v>
      </c>
      <c r="G273" t="s">
        <v>11</v>
      </c>
      <c r="H273" t="s">
        <v>27</v>
      </c>
    </row>
    <row r="274" spans="1:8" x14ac:dyDescent="0.3">
      <c r="A274" s="3">
        <v>65505</v>
      </c>
      <c r="B274" t="s">
        <v>636</v>
      </c>
      <c r="C274" t="s">
        <v>646</v>
      </c>
      <c r="D274" t="s">
        <v>11</v>
      </c>
      <c r="E274" t="s">
        <v>16</v>
      </c>
      <c r="F274" t="s">
        <v>647</v>
      </c>
      <c r="G274" t="s">
        <v>11</v>
      </c>
      <c r="H274" t="s">
        <v>14</v>
      </c>
    </row>
    <row r="275" spans="1:8" x14ac:dyDescent="0.3">
      <c r="A275" s="3">
        <v>148346</v>
      </c>
      <c r="B275" t="s">
        <v>636</v>
      </c>
      <c r="C275" t="s">
        <v>648</v>
      </c>
      <c r="D275" t="s">
        <v>11</v>
      </c>
      <c r="E275" t="s">
        <v>649</v>
      </c>
      <c r="F275" t="s">
        <v>457</v>
      </c>
      <c r="G275" t="s">
        <v>11</v>
      </c>
      <c r="H275" t="s">
        <v>40</v>
      </c>
    </row>
    <row r="276" spans="1:8" x14ac:dyDescent="0.3">
      <c r="A276" s="3">
        <v>47521</v>
      </c>
      <c r="B276" t="s">
        <v>636</v>
      </c>
      <c r="C276" t="s">
        <v>650</v>
      </c>
      <c r="D276" t="s">
        <v>11</v>
      </c>
      <c r="E276" t="s">
        <v>253</v>
      </c>
      <c r="F276" t="s">
        <v>512</v>
      </c>
      <c r="G276" t="s">
        <v>11</v>
      </c>
      <c r="H276" t="s">
        <v>37</v>
      </c>
    </row>
    <row r="277" spans="1:8" x14ac:dyDescent="0.3">
      <c r="A277" s="3">
        <v>463745</v>
      </c>
      <c r="B277" t="s">
        <v>636</v>
      </c>
      <c r="C277" t="s">
        <v>651</v>
      </c>
      <c r="D277" t="s">
        <v>11</v>
      </c>
      <c r="E277" t="s">
        <v>256</v>
      </c>
      <c r="F277" t="s">
        <v>652</v>
      </c>
      <c r="G277" t="s">
        <v>11</v>
      </c>
      <c r="H277" t="s">
        <v>16</v>
      </c>
    </row>
    <row r="278" spans="1:8" x14ac:dyDescent="0.3">
      <c r="A278" s="3">
        <v>468229</v>
      </c>
      <c r="B278" t="s">
        <v>636</v>
      </c>
      <c r="C278" t="s">
        <v>653</v>
      </c>
      <c r="D278" t="s">
        <v>11</v>
      </c>
      <c r="E278" t="s">
        <v>299</v>
      </c>
      <c r="F278" t="s">
        <v>654</v>
      </c>
      <c r="G278" t="s">
        <v>11</v>
      </c>
      <c r="H278" t="s">
        <v>16</v>
      </c>
    </row>
    <row r="279" spans="1:8" x14ac:dyDescent="0.3">
      <c r="A279" s="3">
        <v>67142</v>
      </c>
      <c r="B279" t="s">
        <v>655</v>
      </c>
      <c r="C279" t="s">
        <v>656</v>
      </c>
      <c r="D279" t="s">
        <v>11</v>
      </c>
      <c r="E279" t="s">
        <v>46</v>
      </c>
      <c r="F279" t="s">
        <v>657</v>
      </c>
      <c r="G279" t="s">
        <v>11</v>
      </c>
      <c r="H279" t="s">
        <v>19</v>
      </c>
    </row>
    <row r="280" spans="1:8" x14ac:dyDescent="0.3">
      <c r="A280" s="3">
        <v>72879</v>
      </c>
      <c r="B280" t="s">
        <v>655</v>
      </c>
      <c r="C280" t="s">
        <v>658</v>
      </c>
      <c r="D280" t="s">
        <v>11</v>
      </c>
      <c r="E280" t="s">
        <v>659</v>
      </c>
      <c r="F280" t="s">
        <v>660</v>
      </c>
      <c r="G280" t="s">
        <v>11</v>
      </c>
      <c r="H280" t="s">
        <v>35</v>
      </c>
    </row>
    <row r="281" spans="1:8" x14ac:dyDescent="0.3">
      <c r="A281" s="3">
        <v>486407</v>
      </c>
      <c r="B281" t="s">
        <v>655</v>
      </c>
      <c r="C281" t="s">
        <v>661</v>
      </c>
      <c r="D281" t="s">
        <v>11</v>
      </c>
      <c r="E281" t="s">
        <v>11</v>
      </c>
      <c r="F281" t="s">
        <v>37</v>
      </c>
      <c r="G281" t="s">
        <v>11</v>
      </c>
      <c r="H281" t="s">
        <v>11</v>
      </c>
    </row>
    <row r="282" spans="1:8" x14ac:dyDescent="0.3">
      <c r="A282" s="3">
        <v>170318</v>
      </c>
      <c r="B282" t="s">
        <v>655</v>
      </c>
      <c r="C282" t="s">
        <v>662</v>
      </c>
      <c r="D282" t="s">
        <v>11</v>
      </c>
      <c r="E282" t="s">
        <v>253</v>
      </c>
      <c r="F282" t="s">
        <v>663</v>
      </c>
      <c r="G282" t="s">
        <v>11</v>
      </c>
      <c r="H282" t="s">
        <v>27</v>
      </c>
    </row>
    <row r="283" spans="1:8" x14ac:dyDescent="0.3">
      <c r="A283" s="3">
        <v>547444</v>
      </c>
      <c r="B283" t="s">
        <v>655</v>
      </c>
      <c r="C283" t="s">
        <v>664</v>
      </c>
      <c r="D283" t="s">
        <v>11</v>
      </c>
      <c r="E283" t="s">
        <v>665</v>
      </c>
      <c r="F283" t="s">
        <v>666</v>
      </c>
      <c r="G283" t="s">
        <v>11</v>
      </c>
      <c r="H283" t="s">
        <v>142</v>
      </c>
    </row>
    <row r="284" spans="1:8" x14ac:dyDescent="0.3">
      <c r="A284" s="3">
        <v>62521</v>
      </c>
      <c r="B284" t="s">
        <v>655</v>
      </c>
      <c r="C284" t="s">
        <v>667</v>
      </c>
      <c r="D284" t="s">
        <v>11</v>
      </c>
      <c r="E284" t="s">
        <v>35</v>
      </c>
      <c r="F284" t="s">
        <v>668</v>
      </c>
      <c r="G284" t="s">
        <v>11</v>
      </c>
      <c r="H284" t="s">
        <v>19</v>
      </c>
    </row>
    <row r="285" spans="1:8" x14ac:dyDescent="0.3">
      <c r="A285" s="3">
        <v>557937</v>
      </c>
      <c r="B285" t="s">
        <v>655</v>
      </c>
      <c r="C285" t="s">
        <v>669</v>
      </c>
      <c r="D285" t="s">
        <v>11</v>
      </c>
      <c r="E285" t="s">
        <v>336</v>
      </c>
      <c r="F285" t="s">
        <v>670</v>
      </c>
      <c r="G285" t="s">
        <v>11</v>
      </c>
      <c r="H285" t="s">
        <v>14</v>
      </c>
    </row>
    <row r="286" spans="1:8" x14ac:dyDescent="0.3">
      <c r="A286" s="3">
        <v>148049</v>
      </c>
      <c r="B286" t="s">
        <v>655</v>
      </c>
      <c r="C286" t="s">
        <v>671</v>
      </c>
      <c r="D286" t="s">
        <v>19</v>
      </c>
      <c r="E286" t="s">
        <v>672</v>
      </c>
      <c r="F286" t="s">
        <v>673</v>
      </c>
      <c r="G286" t="s">
        <v>19</v>
      </c>
      <c r="H286" t="s">
        <v>64</v>
      </c>
    </row>
    <row r="287" spans="1:8" x14ac:dyDescent="0.3">
      <c r="A287" s="3">
        <v>463774</v>
      </c>
      <c r="B287" t="s">
        <v>655</v>
      </c>
      <c r="C287" t="s">
        <v>674</v>
      </c>
      <c r="D287" t="s">
        <v>11</v>
      </c>
      <c r="E287" t="s">
        <v>675</v>
      </c>
      <c r="F287" t="s">
        <v>676</v>
      </c>
      <c r="G287" t="s">
        <v>11</v>
      </c>
      <c r="H287" t="s">
        <v>54</v>
      </c>
    </row>
    <row r="288" spans="1:8" x14ac:dyDescent="0.3">
      <c r="A288" s="3">
        <v>67811</v>
      </c>
      <c r="B288" t="s">
        <v>655</v>
      </c>
      <c r="C288" t="s">
        <v>677</v>
      </c>
      <c r="D288" t="s">
        <v>11</v>
      </c>
      <c r="E288" t="s">
        <v>678</v>
      </c>
      <c r="F288" t="s">
        <v>679</v>
      </c>
      <c r="G288" t="s">
        <v>11</v>
      </c>
      <c r="H288" t="s">
        <v>74</v>
      </c>
    </row>
    <row r="289" spans="1:8" x14ac:dyDescent="0.3">
      <c r="A289" s="3">
        <v>158910</v>
      </c>
      <c r="B289" t="s">
        <v>680</v>
      </c>
      <c r="C289" t="s">
        <v>681</v>
      </c>
      <c r="D289" t="s">
        <v>11</v>
      </c>
      <c r="E289" t="s">
        <v>22</v>
      </c>
      <c r="F289" t="s">
        <v>682</v>
      </c>
      <c r="G289" t="s">
        <v>11</v>
      </c>
      <c r="H289" t="s">
        <v>14</v>
      </c>
    </row>
    <row r="290" spans="1:8" x14ac:dyDescent="0.3">
      <c r="A290" s="3">
        <v>445718</v>
      </c>
      <c r="B290" t="s">
        <v>680</v>
      </c>
      <c r="C290" t="s">
        <v>683</v>
      </c>
      <c r="D290" t="s">
        <v>11</v>
      </c>
      <c r="E290" t="s">
        <v>99</v>
      </c>
      <c r="F290" t="s">
        <v>684</v>
      </c>
      <c r="G290" t="s">
        <v>11</v>
      </c>
      <c r="H290" t="s">
        <v>14</v>
      </c>
    </row>
    <row r="291" spans="1:8" x14ac:dyDescent="0.3">
      <c r="A291" s="3">
        <v>52862</v>
      </c>
      <c r="B291" t="s">
        <v>680</v>
      </c>
      <c r="C291" t="s">
        <v>685</v>
      </c>
      <c r="D291" t="s">
        <v>11</v>
      </c>
      <c r="E291" t="s">
        <v>12</v>
      </c>
      <c r="F291" t="s">
        <v>686</v>
      </c>
      <c r="G291" t="s">
        <v>11</v>
      </c>
      <c r="H291" t="s">
        <v>19</v>
      </c>
    </row>
    <row r="292" spans="1:8" x14ac:dyDescent="0.3">
      <c r="A292" s="3">
        <v>89629</v>
      </c>
      <c r="B292" t="s">
        <v>680</v>
      </c>
      <c r="C292" t="s">
        <v>687</v>
      </c>
      <c r="D292" t="s">
        <v>11</v>
      </c>
      <c r="E292" t="s">
        <v>239</v>
      </c>
      <c r="F292" t="s">
        <v>688</v>
      </c>
      <c r="G292" t="s">
        <v>11</v>
      </c>
      <c r="H292" t="s">
        <v>64</v>
      </c>
    </row>
    <row r="293" spans="1:8" x14ac:dyDescent="0.3">
      <c r="A293" s="3">
        <v>65591</v>
      </c>
      <c r="B293" t="s">
        <v>680</v>
      </c>
      <c r="C293" t="s">
        <v>689</v>
      </c>
      <c r="D293" t="s">
        <v>11</v>
      </c>
      <c r="E293" t="s">
        <v>35</v>
      </c>
      <c r="F293" t="s">
        <v>690</v>
      </c>
      <c r="G293" t="s">
        <v>11</v>
      </c>
      <c r="H293" t="s">
        <v>19</v>
      </c>
    </row>
    <row r="294" spans="1:8" x14ac:dyDescent="0.3">
      <c r="A294" s="3">
        <v>75806</v>
      </c>
      <c r="B294" t="s">
        <v>680</v>
      </c>
      <c r="C294" t="s">
        <v>691</v>
      </c>
      <c r="D294" t="s">
        <v>11</v>
      </c>
      <c r="E294" t="s">
        <v>234</v>
      </c>
      <c r="F294" t="s">
        <v>388</v>
      </c>
      <c r="G294" t="s">
        <v>11</v>
      </c>
      <c r="H294" t="s">
        <v>74</v>
      </c>
    </row>
    <row r="295" spans="1:8" x14ac:dyDescent="0.3">
      <c r="A295" s="3">
        <v>151720</v>
      </c>
      <c r="B295" t="s">
        <v>680</v>
      </c>
      <c r="C295" t="s">
        <v>692</v>
      </c>
      <c r="D295" t="s">
        <v>19</v>
      </c>
      <c r="E295" t="s">
        <v>49</v>
      </c>
      <c r="F295" t="s">
        <v>429</v>
      </c>
      <c r="G295" t="s">
        <v>19</v>
      </c>
      <c r="H295" t="s">
        <v>74</v>
      </c>
    </row>
    <row r="296" spans="1:8" x14ac:dyDescent="0.3">
      <c r="A296" s="3">
        <v>577855</v>
      </c>
      <c r="B296" t="s">
        <v>680</v>
      </c>
      <c r="C296" t="s">
        <v>693</v>
      </c>
      <c r="D296" t="s">
        <v>11</v>
      </c>
      <c r="E296" t="s">
        <v>37</v>
      </c>
      <c r="F296" t="s">
        <v>409</v>
      </c>
      <c r="G296" t="s">
        <v>11</v>
      </c>
      <c r="H296" t="s">
        <v>19</v>
      </c>
    </row>
    <row r="297" spans="1:8" x14ac:dyDescent="0.3">
      <c r="A297" s="3">
        <v>447784</v>
      </c>
      <c r="B297" t="s">
        <v>680</v>
      </c>
      <c r="C297" t="s">
        <v>694</v>
      </c>
      <c r="D297" t="s">
        <v>19</v>
      </c>
      <c r="E297" t="s">
        <v>178</v>
      </c>
      <c r="F297" t="s">
        <v>695</v>
      </c>
      <c r="G297" t="s">
        <v>19</v>
      </c>
      <c r="H297" t="s">
        <v>27</v>
      </c>
    </row>
    <row r="298" spans="1:8" x14ac:dyDescent="0.3">
      <c r="A298" s="3">
        <v>149015</v>
      </c>
      <c r="B298" t="s">
        <v>696</v>
      </c>
      <c r="C298" t="s">
        <v>697</v>
      </c>
      <c r="D298" t="s">
        <v>19</v>
      </c>
      <c r="E298" t="s">
        <v>698</v>
      </c>
      <c r="F298" t="s">
        <v>699</v>
      </c>
      <c r="G298" t="s">
        <v>19</v>
      </c>
      <c r="H298" t="s">
        <v>31</v>
      </c>
    </row>
    <row r="299" spans="1:8" x14ac:dyDescent="0.3">
      <c r="A299" s="3">
        <v>65628</v>
      </c>
      <c r="B299" t="s">
        <v>696</v>
      </c>
      <c r="C299" t="s">
        <v>700</v>
      </c>
      <c r="D299" t="s">
        <v>11</v>
      </c>
      <c r="E299" t="s">
        <v>78</v>
      </c>
      <c r="F299" t="s">
        <v>574</v>
      </c>
      <c r="G299" t="s">
        <v>11</v>
      </c>
      <c r="H299" t="s">
        <v>27</v>
      </c>
    </row>
    <row r="300" spans="1:8" x14ac:dyDescent="0.3">
      <c r="A300" s="3">
        <v>62644</v>
      </c>
      <c r="B300" t="s">
        <v>696</v>
      </c>
      <c r="C300" t="s">
        <v>701</v>
      </c>
      <c r="D300" t="s">
        <v>11</v>
      </c>
      <c r="E300" t="s">
        <v>530</v>
      </c>
      <c r="F300" t="s">
        <v>702</v>
      </c>
      <c r="G300" t="s">
        <v>11</v>
      </c>
      <c r="H300" t="s">
        <v>74</v>
      </c>
    </row>
    <row r="301" spans="1:8" x14ac:dyDescent="0.3">
      <c r="A301" s="3">
        <v>81746</v>
      </c>
      <c r="B301" t="s">
        <v>696</v>
      </c>
      <c r="C301" t="s">
        <v>703</v>
      </c>
      <c r="D301" t="s">
        <v>11</v>
      </c>
      <c r="E301" t="s">
        <v>11</v>
      </c>
      <c r="F301" t="s">
        <v>530</v>
      </c>
      <c r="G301" t="s">
        <v>11</v>
      </c>
      <c r="H301" t="s">
        <v>11</v>
      </c>
    </row>
    <row r="302" spans="1:8" x14ac:dyDescent="0.3">
      <c r="A302" s="3">
        <v>464962</v>
      </c>
      <c r="B302" t="s">
        <v>696</v>
      </c>
      <c r="C302" t="s">
        <v>704</v>
      </c>
      <c r="D302" t="s">
        <v>19</v>
      </c>
      <c r="E302" t="s">
        <v>334</v>
      </c>
      <c r="F302" t="s">
        <v>705</v>
      </c>
      <c r="G302" t="s">
        <v>19</v>
      </c>
      <c r="H302" t="s">
        <v>89</v>
      </c>
    </row>
    <row r="303" spans="1:8" x14ac:dyDescent="0.3">
      <c r="A303" s="3">
        <v>170455</v>
      </c>
      <c r="B303" t="s">
        <v>696</v>
      </c>
      <c r="C303" t="s">
        <v>706</v>
      </c>
      <c r="D303" t="s">
        <v>19</v>
      </c>
      <c r="E303" t="s">
        <v>490</v>
      </c>
      <c r="F303" t="s">
        <v>707</v>
      </c>
      <c r="G303" t="s">
        <v>19</v>
      </c>
      <c r="H303" t="s">
        <v>37</v>
      </c>
    </row>
    <row r="304" spans="1:8" x14ac:dyDescent="0.3">
      <c r="A304" s="3">
        <v>67222</v>
      </c>
      <c r="B304" t="s">
        <v>696</v>
      </c>
      <c r="C304" t="s">
        <v>708</v>
      </c>
      <c r="D304" t="s">
        <v>11</v>
      </c>
      <c r="E304" t="s">
        <v>19</v>
      </c>
      <c r="F304" t="s">
        <v>31</v>
      </c>
      <c r="G304" t="s">
        <v>11</v>
      </c>
      <c r="H304" t="s">
        <v>11</v>
      </c>
    </row>
    <row r="305" spans="1:8" x14ac:dyDescent="0.3">
      <c r="A305" s="3">
        <v>166533</v>
      </c>
      <c r="B305" t="s">
        <v>696</v>
      </c>
      <c r="C305" t="s">
        <v>709</v>
      </c>
      <c r="D305" t="s">
        <v>19</v>
      </c>
      <c r="E305" t="s">
        <v>326</v>
      </c>
      <c r="F305" t="s">
        <v>710</v>
      </c>
      <c r="G305" t="s">
        <v>19</v>
      </c>
      <c r="H305" t="s">
        <v>16</v>
      </c>
    </row>
    <row r="306" spans="1:8" x14ac:dyDescent="0.3">
      <c r="A306" s="3">
        <v>448972</v>
      </c>
      <c r="B306" t="s">
        <v>696</v>
      </c>
      <c r="C306" t="s">
        <v>711</v>
      </c>
      <c r="D306" t="s">
        <v>11</v>
      </c>
      <c r="E306" t="s">
        <v>31</v>
      </c>
      <c r="F306" t="s">
        <v>303</v>
      </c>
      <c r="G306" t="s">
        <v>11</v>
      </c>
      <c r="H306" t="s">
        <v>35</v>
      </c>
    </row>
    <row r="307" spans="1:8" x14ac:dyDescent="0.3">
      <c r="A307" s="3">
        <v>547613</v>
      </c>
      <c r="B307" t="s">
        <v>696</v>
      </c>
      <c r="C307" t="s">
        <v>712</v>
      </c>
      <c r="D307" t="s">
        <v>11</v>
      </c>
      <c r="E307" t="s">
        <v>105</v>
      </c>
      <c r="F307" t="s">
        <v>713</v>
      </c>
      <c r="G307" t="s">
        <v>19</v>
      </c>
      <c r="H307" t="s">
        <v>37</v>
      </c>
    </row>
    <row r="308" spans="1:8" x14ac:dyDescent="0.3">
      <c r="A308" s="3">
        <v>488487</v>
      </c>
      <c r="B308" t="s">
        <v>714</v>
      </c>
      <c r="C308" t="s">
        <v>715</v>
      </c>
      <c r="D308" t="s">
        <v>11</v>
      </c>
      <c r="E308" t="s">
        <v>89</v>
      </c>
      <c r="F308" t="s">
        <v>716</v>
      </c>
      <c r="G308" t="s">
        <v>11</v>
      </c>
      <c r="H308" t="s">
        <v>14</v>
      </c>
    </row>
    <row r="309" spans="1:8" x14ac:dyDescent="0.3">
      <c r="A309" s="3">
        <v>59552</v>
      </c>
      <c r="B309" t="s">
        <v>714</v>
      </c>
      <c r="C309" t="s">
        <v>717</v>
      </c>
      <c r="D309" t="s">
        <v>19</v>
      </c>
      <c r="E309" t="s">
        <v>16</v>
      </c>
      <c r="F309" t="s">
        <v>622</v>
      </c>
      <c r="G309" t="s">
        <v>19</v>
      </c>
      <c r="H309" t="s">
        <v>14</v>
      </c>
    </row>
    <row r="310" spans="1:8" x14ac:dyDescent="0.3">
      <c r="A310" s="3">
        <v>148068</v>
      </c>
      <c r="B310" t="s">
        <v>714</v>
      </c>
      <c r="C310" t="s">
        <v>718</v>
      </c>
      <c r="D310" t="s">
        <v>19</v>
      </c>
      <c r="E310" t="s">
        <v>74</v>
      </c>
      <c r="F310" t="s">
        <v>719</v>
      </c>
      <c r="G310" t="s">
        <v>19</v>
      </c>
      <c r="H310" t="s">
        <v>27</v>
      </c>
    </row>
    <row r="311" spans="1:8" x14ac:dyDescent="0.3">
      <c r="A311" s="3">
        <v>563759</v>
      </c>
      <c r="B311" t="s">
        <v>714</v>
      </c>
      <c r="C311" t="s">
        <v>720</v>
      </c>
      <c r="D311" t="s">
        <v>11</v>
      </c>
      <c r="E311" t="s">
        <v>379</v>
      </c>
      <c r="F311" t="s">
        <v>721</v>
      </c>
      <c r="G311" t="s">
        <v>11</v>
      </c>
      <c r="H311" t="s">
        <v>64</v>
      </c>
    </row>
    <row r="312" spans="1:8" x14ac:dyDescent="0.3">
      <c r="A312" s="3">
        <v>463929</v>
      </c>
      <c r="B312" t="s">
        <v>714</v>
      </c>
      <c r="C312" t="s">
        <v>722</v>
      </c>
      <c r="D312" t="s">
        <v>11</v>
      </c>
      <c r="E312" t="s">
        <v>336</v>
      </c>
      <c r="F312" t="s">
        <v>723</v>
      </c>
      <c r="G312" t="s">
        <v>11</v>
      </c>
      <c r="H312" t="s">
        <v>27</v>
      </c>
    </row>
    <row r="313" spans="1:8" x14ac:dyDescent="0.3">
      <c r="A313" s="3">
        <v>157345</v>
      </c>
      <c r="B313" t="s">
        <v>714</v>
      </c>
      <c r="C313" t="s">
        <v>724</v>
      </c>
      <c r="D313" t="s">
        <v>11</v>
      </c>
      <c r="E313" t="s">
        <v>74</v>
      </c>
      <c r="F313" t="s">
        <v>725</v>
      </c>
      <c r="G313" t="s">
        <v>11</v>
      </c>
      <c r="H313" t="s">
        <v>19</v>
      </c>
    </row>
    <row r="314" spans="1:8" x14ac:dyDescent="0.3">
      <c r="A314" s="3">
        <v>44570</v>
      </c>
      <c r="B314" t="s">
        <v>714</v>
      </c>
      <c r="C314" t="s">
        <v>726</v>
      </c>
      <c r="D314" t="s">
        <v>11</v>
      </c>
      <c r="E314" t="s">
        <v>727</v>
      </c>
      <c r="F314" t="s">
        <v>728</v>
      </c>
      <c r="G314" t="s">
        <v>11</v>
      </c>
      <c r="H314" t="s">
        <v>31</v>
      </c>
    </row>
    <row r="315" spans="1:8" x14ac:dyDescent="0.3">
      <c r="A315" s="3">
        <v>441145</v>
      </c>
      <c r="B315" t="s">
        <v>714</v>
      </c>
      <c r="C315" t="s">
        <v>729</v>
      </c>
      <c r="D315" t="s">
        <v>11</v>
      </c>
      <c r="E315" t="s">
        <v>27</v>
      </c>
      <c r="F315" t="s">
        <v>730</v>
      </c>
      <c r="G315" t="s">
        <v>11</v>
      </c>
      <c r="H315" t="s">
        <v>11</v>
      </c>
    </row>
    <row r="316" spans="1:8" x14ac:dyDescent="0.3">
      <c r="A316" s="3">
        <v>443677</v>
      </c>
      <c r="B316" t="s">
        <v>714</v>
      </c>
      <c r="C316" t="s">
        <v>731</v>
      </c>
      <c r="D316" t="s">
        <v>11</v>
      </c>
      <c r="E316" t="s">
        <v>130</v>
      </c>
      <c r="F316" t="s">
        <v>198</v>
      </c>
      <c r="G316" t="s">
        <v>11</v>
      </c>
      <c r="H316" t="s">
        <v>14</v>
      </c>
    </row>
    <row r="317" spans="1:8" x14ac:dyDescent="0.3">
      <c r="A317" s="3">
        <v>44508</v>
      </c>
      <c r="B317" t="s">
        <v>732</v>
      </c>
      <c r="C317" t="s">
        <v>733</v>
      </c>
      <c r="D317" t="s">
        <v>11</v>
      </c>
      <c r="E317" t="s">
        <v>261</v>
      </c>
      <c r="F317" t="s">
        <v>734</v>
      </c>
      <c r="G317" t="s">
        <v>11</v>
      </c>
      <c r="H317" t="s">
        <v>14</v>
      </c>
    </row>
    <row r="318" spans="1:8" x14ac:dyDescent="0.3">
      <c r="A318" s="3">
        <v>72450</v>
      </c>
      <c r="B318" t="s">
        <v>732</v>
      </c>
      <c r="C318" t="s">
        <v>735</v>
      </c>
      <c r="D318" t="s">
        <v>11</v>
      </c>
      <c r="E318" t="s">
        <v>78</v>
      </c>
      <c r="F318" t="s">
        <v>736</v>
      </c>
      <c r="G318" t="s">
        <v>11</v>
      </c>
      <c r="H318" t="s">
        <v>14</v>
      </c>
    </row>
    <row r="319" spans="1:8" x14ac:dyDescent="0.3">
      <c r="A319" s="3">
        <v>396869</v>
      </c>
      <c r="B319" t="s">
        <v>732</v>
      </c>
      <c r="C319" t="s">
        <v>737</v>
      </c>
      <c r="D319" t="s">
        <v>11</v>
      </c>
      <c r="E319" t="s">
        <v>281</v>
      </c>
      <c r="F319" t="s">
        <v>738</v>
      </c>
      <c r="G319" t="s">
        <v>11</v>
      </c>
      <c r="H319" t="s">
        <v>27</v>
      </c>
    </row>
    <row r="320" spans="1:8" x14ac:dyDescent="0.3">
      <c r="A320" s="3">
        <v>62427</v>
      </c>
      <c r="B320" t="s">
        <v>732</v>
      </c>
      <c r="C320" t="s">
        <v>739</v>
      </c>
      <c r="D320" t="s">
        <v>11</v>
      </c>
      <c r="E320" t="s">
        <v>19</v>
      </c>
      <c r="F320" t="s">
        <v>740</v>
      </c>
      <c r="G320" t="s">
        <v>11</v>
      </c>
      <c r="H320" t="s">
        <v>19</v>
      </c>
    </row>
    <row r="321" spans="1:8" x14ac:dyDescent="0.3">
      <c r="A321" s="3">
        <v>151999</v>
      </c>
      <c r="B321" t="s">
        <v>732</v>
      </c>
      <c r="C321" t="s">
        <v>741</v>
      </c>
      <c r="D321" t="s">
        <v>11</v>
      </c>
      <c r="E321" t="s">
        <v>742</v>
      </c>
      <c r="F321" t="s">
        <v>743</v>
      </c>
      <c r="G321" t="s">
        <v>11</v>
      </c>
      <c r="H321" t="s">
        <v>170</v>
      </c>
    </row>
    <row r="322" spans="1:8" x14ac:dyDescent="0.3">
      <c r="A322" s="3">
        <v>212281</v>
      </c>
      <c r="B322" t="s">
        <v>732</v>
      </c>
      <c r="C322" t="s">
        <v>744</v>
      </c>
      <c r="D322" t="s">
        <v>11</v>
      </c>
      <c r="E322" t="s">
        <v>316</v>
      </c>
      <c r="F322" t="s">
        <v>745</v>
      </c>
      <c r="G322" t="s">
        <v>11</v>
      </c>
      <c r="H322" t="s">
        <v>27</v>
      </c>
    </row>
    <row r="323" spans="1:8" x14ac:dyDescent="0.3">
      <c r="A323" s="3">
        <v>84349</v>
      </c>
      <c r="B323" t="s">
        <v>732</v>
      </c>
      <c r="C323" t="s">
        <v>746</v>
      </c>
      <c r="D323" t="s">
        <v>11</v>
      </c>
      <c r="E323" t="s">
        <v>103</v>
      </c>
      <c r="F323" t="s">
        <v>747</v>
      </c>
      <c r="G323" t="s">
        <v>11</v>
      </c>
      <c r="H323" t="s">
        <v>74</v>
      </c>
    </row>
    <row r="324" spans="1:8" x14ac:dyDescent="0.3">
      <c r="A324" s="3">
        <v>46946</v>
      </c>
      <c r="B324" t="s">
        <v>732</v>
      </c>
      <c r="C324" t="s">
        <v>748</v>
      </c>
      <c r="D324" t="s">
        <v>11</v>
      </c>
      <c r="E324" t="s">
        <v>12</v>
      </c>
      <c r="F324" t="s">
        <v>749</v>
      </c>
      <c r="G324" t="s">
        <v>11</v>
      </c>
      <c r="H324" t="s">
        <v>27</v>
      </c>
    </row>
    <row r="325" spans="1:8" x14ac:dyDescent="0.3">
      <c r="A325" s="3">
        <v>146234</v>
      </c>
      <c r="B325" t="s">
        <v>732</v>
      </c>
      <c r="C325" t="s">
        <v>750</v>
      </c>
      <c r="D325" t="s">
        <v>11</v>
      </c>
      <c r="E325" t="s">
        <v>14</v>
      </c>
      <c r="F325" t="s">
        <v>649</v>
      </c>
      <c r="G325" t="s">
        <v>11</v>
      </c>
      <c r="H325" t="s">
        <v>19</v>
      </c>
    </row>
    <row r="326" spans="1:8" x14ac:dyDescent="0.3">
      <c r="A326" s="3">
        <v>63525</v>
      </c>
      <c r="B326" t="s">
        <v>732</v>
      </c>
      <c r="C326" t="s">
        <v>751</v>
      </c>
      <c r="D326" t="s">
        <v>19</v>
      </c>
      <c r="E326" t="s">
        <v>239</v>
      </c>
      <c r="F326" t="s">
        <v>752</v>
      </c>
      <c r="G326" t="s">
        <v>19</v>
      </c>
      <c r="H326" t="s">
        <v>261</v>
      </c>
    </row>
    <row r="327" spans="1:8" x14ac:dyDescent="0.3">
      <c r="A327" s="3">
        <v>486228</v>
      </c>
      <c r="B327" t="s">
        <v>753</v>
      </c>
      <c r="C327" t="s">
        <v>578</v>
      </c>
      <c r="D327" t="s">
        <v>11</v>
      </c>
      <c r="E327" t="s">
        <v>11</v>
      </c>
      <c r="F327" t="s">
        <v>31</v>
      </c>
      <c r="G327" t="s">
        <v>11</v>
      </c>
      <c r="H327" t="s">
        <v>11</v>
      </c>
    </row>
    <row r="328" spans="1:8" x14ac:dyDescent="0.3">
      <c r="A328" s="3">
        <v>61258</v>
      </c>
      <c r="B328" t="s">
        <v>753</v>
      </c>
      <c r="C328" t="s">
        <v>754</v>
      </c>
      <c r="D328" t="s">
        <v>19</v>
      </c>
      <c r="E328" t="s">
        <v>37</v>
      </c>
      <c r="F328" t="s">
        <v>755</v>
      </c>
      <c r="G328" t="s">
        <v>19</v>
      </c>
      <c r="H328" t="s">
        <v>19</v>
      </c>
    </row>
    <row r="329" spans="1:8" x14ac:dyDescent="0.3">
      <c r="A329" s="3">
        <v>441517</v>
      </c>
      <c r="B329" t="s">
        <v>753</v>
      </c>
      <c r="C329" t="s">
        <v>756</v>
      </c>
      <c r="D329" t="s">
        <v>11</v>
      </c>
      <c r="E329" t="s">
        <v>414</v>
      </c>
      <c r="F329" t="s">
        <v>757</v>
      </c>
      <c r="G329" t="s">
        <v>11</v>
      </c>
      <c r="H329" t="s">
        <v>74</v>
      </c>
    </row>
    <row r="330" spans="1:8" x14ac:dyDescent="0.3">
      <c r="A330" s="3">
        <v>44867</v>
      </c>
      <c r="B330" t="s">
        <v>753</v>
      </c>
      <c r="C330" t="s">
        <v>454</v>
      </c>
      <c r="D330" t="s">
        <v>11</v>
      </c>
      <c r="E330" t="s">
        <v>19</v>
      </c>
      <c r="F330" t="s">
        <v>83</v>
      </c>
      <c r="G330" t="s">
        <v>11</v>
      </c>
      <c r="H330" t="s">
        <v>11</v>
      </c>
    </row>
    <row r="331" spans="1:8" x14ac:dyDescent="0.3">
      <c r="A331" s="3">
        <v>148110</v>
      </c>
      <c r="B331" t="s">
        <v>753</v>
      </c>
      <c r="C331" t="s">
        <v>204</v>
      </c>
      <c r="D331" t="s">
        <v>19</v>
      </c>
      <c r="E331" t="s">
        <v>152</v>
      </c>
      <c r="F331" t="s">
        <v>758</v>
      </c>
      <c r="G331" t="s">
        <v>19</v>
      </c>
      <c r="H331" t="s">
        <v>14</v>
      </c>
    </row>
    <row r="332" spans="1:8" x14ac:dyDescent="0.3">
      <c r="A332" s="3">
        <v>459692</v>
      </c>
      <c r="B332" t="s">
        <v>753</v>
      </c>
      <c r="C332" t="s">
        <v>759</v>
      </c>
      <c r="D332" t="s">
        <v>11</v>
      </c>
      <c r="E332" t="s">
        <v>760</v>
      </c>
      <c r="F332" t="s">
        <v>761</v>
      </c>
      <c r="G332" t="s">
        <v>11</v>
      </c>
      <c r="H332" t="s">
        <v>130</v>
      </c>
    </row>
    <row r="333" spans="1:8" x14ac:dyDescent="0.3">
      <c r="A333" s="3">
        <v>159170</v>
      </c>
      <c r="B333" t="s">
        <v>753</v>
      </c>
      <c r="C333" t="s">
        <v>762</v>
      </c>
      <c r="D333" t="s">
        <v>11</v>
      </c>
      <c r="E333" t="s">
        <v>250</v>
      </c>
      <c r="F333" t="s">
        <v>695</v>
      </c>
      <c r="G333" t="s">
        <v>11</v>
      </c>
      <c r="H333" t="s">
        <v>14</v>
      </c>
    </row>
    <row r="334" spans="1:8" x14ac:dyDescent="0.3">
      <c r="A334" s="3">
        <v>168221</v>
      </c>
      <c r="B334" t="s">
        <v>753</v>
      </c>
      <c r="C334" t="s">
        <v>763</v>
      </c>
      <c r="D334" t="s">
        <v>11</v>
      </c>
      <c r="E334" t="s">
        <v>178</v>
      </c>
      <c r="F334" t="s">
        <v>764</v>
      </c>
      <c r="G334" t="s">
        <v>11</v>
      </c>
      <c r="H334" t="s">
        <v>27</v>
      </c>
    </row>
    <row r="335" spans="1:8" x14ac:dyDescent="0.3">
      <c r="A335" s="3">
        <v>49025</v>
      </c>
      <c r="B335" t="s">
        <v>753</v>
      </c>
      <c r="C335" t="s">
        <v>765</v>
      </c>
      <c r="D335" t="s">
        <v>11</v>
      </c>
      <c r="E335" t="s">
        <v>43</v>
      </c>
      <c r="F335" t="s">
        <v>766</v>
      </c>
      <c r="G335" t="s">
        <v>11</v>
      </c>
      <c r="H335" t="s">
        <v>14</v>
      </c>
    </row>
    <row r="336" spans="1:8" x14ac:dyDescent="0.3">
      <c r="A336" s="3">
        <v>73015</v>
      </c>
      <c r="B336" t="s">
        <v>753</v>
      </c>
      <c r="C336" t="s">
        <v>231</v>
      </c>
      <c r="D336" t="s">
        <v>19</v>
      </c>
      <c r="E336" t="s">
        <v>40</v>
      </c>
      <c r="F336" t="s">
        <v>684</v>
      </c>
      <c r="G336" t="s">
        <v>19</v>
      </c>
      <c r="H336" t="s">
        <v>37</v>
      </c>
    </row>
    <row r="337" spans="1:8" x14ac:dyDescent="0.3">
      <c r="A337" s="3">
        <v>158905</v>
      </c>
      <c r="B337" t="s">
        <v>767</v>
      </c>
      <c r="C337" t="s">
        <v>768</v>
      </c>
      <c r="D337" t="s">
        <v>11</v>
      </c>
      <c r="E337" t="s">
        <v>769</v>
      </c>
      <c r="F337" t="s">
        <v>770</v>
      </c>
      <c r="G337" t="s">
        <v>11</v>
      </c>
      <c r="H337" t="s">
        <v>35</v>
      </c>
    </row>
    <row r="338" spans="1:8" x14ac:dyDescent="0.3">
      <c r="A338" s="3">
        <v>59509</v>
      </c>
      <c r="B338" t="s">
        <v>767</v>
      </c>
      <c r="C338" t="s">
        <v>771</v>
      </c>
      <c r="D338" t="s">
        <v>11</v>
      </c>
      <c r="E338" t="s">
        <v>85</v>
      </c>
      <c r="F338" t="s">
        <v>772</v>
      </c>
      <c r="G338" t="s">
        <v>11</v>
      </c>
      <c r="H338" t="s">
        <v>27</v>
      </c>
    </row>
    <row r="339" spans="1:8" x14ac:dyDescent="0.3">
      <c r="A339" s="3">
        <v>444479</v>
      </c>
      <c r="B339" t="s">
        <v>767</v>
      </c>
      <c r="C339" t="s">
        <v>773</v>
      </c>
      <c r="D339" t="s">
        <v>11</v>
      </c>
      <c r="E339" t="s">
        <v>25</v>
      </c>
      <c r="F339" t="s">
        <v>774</v>
      </c>
      <c r="G339" t="s">
        <v>11</v>
      </c>
      <c r="H339" t="s">
        <v>35</v>
      </c>
    </row>
    <row r="340" spans="1:8" x14ac:dyDescent="0.3">
      <c r="A340" s="3">
        <v>61828</v>
      </c>
      <c r="B340" t="s">
        <v>767</v>
      </c>
      <c r="C340" t="s">
        <v>775</v>
      </c>
      <c r="D340" t="s">
        <v>11</v>
      </c>
      <c r="E340" t="s">
        <v>11</v>
      </c>
      <c r="F340" t="s">
        <v>776</v>
      </c>
      <c r="G340" t="s">
        <v>11</v>
      </c>
      <c r="H340" t="s">
        <v>11</v>
      </c>
    </row>
    <row r="341" spans="1:8" x14ac:dyDescent="0.3">
      <c r="A341" s="3">
        <v>62601</v>
      </c>
      <c r="B341" t="s">
        <v>767</v>
      </c>
      <c r="C341" t="s">
        <v>777</v>
      </c>
      <c r="D341" t="s">
        <v>11</v>
      </c>
      <c r="E341" t="s">
        <v>661</v>
      </c>
      <c r="F341" t="s">
        <v>778</v>
      </c>
      <c r="G341" t="s">
        <v>11</v>
      </c>
      <c r="H341" t="s">
        <v>35</v>
      </c>
    </row>
    <row r="342" spans="1:8" x14ac:dyDescent="0.3">
      <c r="A342" s="3">
        <v>60466</v>
      </c>
      <c r="B342" t="s">
        <v>767</v>
      </c>
      <c r="C342" t="s">
        <v>779</v>
      </c>
      <c r="D342" t="s">
        <v>19</v>
      </c>
      <c r="E342" t="s">
        <v>215</v>
      </c>
      <c r="F342" t="s">
        <v>780</v>
      </c>
      <c r="G342" t="s">
        <v>19</v>
      </c>
      <c r="H342" t="s">
        <v>64</v>
      </c>
    </row>
    <row r="343" spans="1:8" x14ac:dyDescent="0.3">
      <c r="A343" s="3">
        <v>155105</v>
      </c>
      <c r="B343" t="s">
        <v>767</v>
      </c>
      <c r="C343" t="s">
        <v>781</v>
      </c>
      <c r="D343" t="s">
        <v>11</v>
      </c>
      <c r="E343" t="s">
        <v>46</v>
      </c>
      <c r="F343" t="s">
        <v>782</v>
      </c>
      <c r="G343" t="s">
        <v>11</v>
      </c>
      <c r="H343" t="s">
        <v>19</v>
      </c>
    </row>
    <row r="344" spans="1:8" x14ac:dyDescent="0.3">
      <c r="A344" s="3">
        <v>149553</v>
      </c>
      <c r="B344" t="s">
        <v>767</v>
      </c>
      <c r="C344" t="s">
        <v>783</v>
      </c>
      <c r="D344" t="s">
        <v>11</v>
      </c>
      <c r="E344" t="s">
        <v>14</v>
      </c>
      <c r="F344" t="s">
        <v>277</v>
      </c>
      <c r="G344" t="s">
        <v>11</v>
      </c>
      <c r="H344" t="s">
        <v>19</v>
      </c>
    </row>
    <row r="345" spans="1:8" x14ac:dyDescent="0.3">
      <c r="A345" s="3">
        <v>170158</v>
      </c>
      <c r="B345" t="s">
        <v>767</v>
      </c>
      <c r="C345" t="s">
        <v>784</v>
      </c>
      <c r="D345" t="s">
        <v>11</v>
      </c>
      <c r="E345" t="s">
        <v>261</v>
      </c>
      <c r="F345" t="s">
        <v>341</v>
      </c>
      <c r="G345" t="s">
        <v>11</v>
      </c>
      <c r="H345" t="s">
        <v>14</v>
      </c>
    </row>
    <row r="346" spans="1:8" x14ac:dyDescent="0.3">
      <c r="A346" s="3">
        <v>533215</v>
      </c>
      <c r="B346" t="s">
        <v>767</v>
      </c>
      <c r="C346" t="s">
        <v>785</v>
      </c>
      <c r="D346" t="s">
        <v>11</v>
      </c>
      <c r="E346" t="s">
        <v>99</v>
      </c>
      <c r="F346" t="s">
        <v>786</v>
      </c>
      <c r="G346" t="s">
        <v>11</v>
      </c>
      <c r="H346" t="s">
        <v>14</v>
      </c>
    </row>
    <row r="347" spans="1:8" x14ac:dyDescent="0.3">
      <c r="A347" s="3">
        <v>457909</v>
      </c>
      <c r="B347" t="s">
        <v>787</v>
      </c>
      <c r="C347" t="s">
        <v>788</v>
      </c>
      <c r="D347" t="s">
        <v>11</v>
      </c>
      <c r="E347" t="s">
        <v>422</v>
      </c>
      <c r="F347" t="s">
        <v>789</v>
      </c>
      <c r="G347" t="s">
        <v>11</v>
      </c>
      <c r="H347" t="s">
        <v>74</v>
      </c>
    </row>
    <row r="348" spans="1:8" x14ac:dyDescent="0.3">
      <c r="A348" s="3">
        <v>463608</v>
      </c>
      <c r="B348" t="s">
        <v>787</v>
      </c>
      <c r="C348" t="s">
        <v>790</v>
      </c>
      <c r="D348" t="s">
        <v>11</v>
      </c>
      <c r="E348" t="s">
        <v>54</v>
      </c>
      <c r="F348" t="s">
        <v>791</v>
      </c>
      <c r="G348" t="s">
        <v>11</v>
      </c>
      <c r="H348" t="s">
        <v>14</v>
      </c>
    </row>
    <row r="349" spans="1:8" x14ac:dyDescent="0.3">
      <c r="A349" s="3">
        <v>468385</v>
      </c>
      <c r="B349" t="s">
        <v>787</v>
      </c>
      <c r="C349" t="s">
        <v>792</v>
      </c>
      <c r="D349" t="s">
        <v>11</v>
      </c>
      <c r="E349" t="s">
        <v>321</v>
      </c>
      <c r="F349" t="s">
        <v>793</v>
      </c>
      <c r="G349" t="s">
        <v>11</v>
      </c>
      <c r="H349" t="s">
        <v>31</v>
      </c>
    </row>
    <row r="350" spans="1:8" x14ac:dyDescent="0.3">
      <c r="A350" s="3">
        <v>149567</v>
      </c>
      <c r="B350" t="s">
        <v>787</v>
      </c>
      <c r="C350" t="s">
        <v>794</v>
      </c>
      <c r="D350" t="s">
        <v>11</v>
      </c>
      <c r="E350" t="s">
        <v>379</v>
      </c>
      <c r="F350" t="s">
        <v>795</v>
      </c>
      <c r="G350" t="s">
        <v>11</v>
      </c>
      <c r="H350" t="s">
        <v>74</v>
      </c>
    </row>
    <row r="351" spans="1:8" x14ac:dyDescent="0.3">
      <c r="A351" s="3">
        <v>120192</v>
      </c>
      <c r="B351" t="s">
        <v>787</v>
      </c>
      <c r="C351" t="s">
        <v>796</v>
      </c>
      <c r="D351" t="s">
        <v>19</v>
      </c>
      <c r="E351" t="s">
        <v>797</v>
      </c>
      <c r="F351" t="s">
        <v>798</v>
      </c>
      <c r="G351" t="s">
        <v>19</v>
      </c>
      <c r="H351" t="s">
        <v>105</v>
      </c>
    </row>
    <row r="352" spans="1:8" x14ac:dyDescent="0.3">
      <c r="A352" s="3">
        <v>168117</v>
      </c>
      <c r="B352" t="s">
        <v>787</v>
      </c>
      <c r="C352" t="s">
        <v>799</v>
      </c>
      <c r="D352" t="s">
        <v>11</v>
      </c>
      <c r="E352" t="s">
        <v>678</v>
      </c>
      <c r="F352" t="s">
        <v>800</v>
      </c>
      <c r="G352" t="s">
        <v>11</v>
      </c>
      <c r="H352" t="s">
        <v>43</v>
      </c>
    </row>
    <row r="353" spans="1:8" x14ac:dyDescent="0.3">
      <c r="A353" s="3">
        <v>72799</v>
      </c>
      <c r="B353" t="s">
        <v>787</v>
      </c>
      <c r="C353" t="s">
        <v>801</v>
      </c>
      <c r="D353" t="s">
        <v>19</v>
      </c>
      <c r="E353" t="s">
        <v>74</v>
      </c>
      <c r="F353" t="s">
        <v>802</v>
      </c>
      <c r="G353" t="s">
        <v>19</v>
      </c>
      <c r="H353" t="s">
        <v>27</v>
      </c>
    </row>
    <row r="354" spans="1:8" x14ac:dyDescent="0.3">
      <c r="A354" s="3">
        <v>460332</v>
      </c>
      <c r="B354" t="s">
        <v>787</v>
      </c>
      <c r="C354" t="s">
        <v>803</v>
      </c>
      <c r="D354" t="s">
        <v>11</v>
      </c>
      <c r="E354" t="s">
        <v>804</v>
      </c>
      <c r="F354" t="s">
        <v>805</v>
      </c>
      <c r="G354" t="s">
        <v>11</v>
      </c>
      <c r="H354" t="s">
        <v>178</v>
      </c>
    </row>
    <row r="355" spans="1:8" x14ac:dyDescent="0.3">
      <c r="A355" s="3">
        <v>149039</v>
      </c>
      <c r="B355" t="s">
        <v>787</v>
      </c>
      <c r="C355" t="s">
        <v>806</v>
      </c>
      <c r="D355" t="s">
        <v>19</v>
      </c>
      <c r="E355" t="s">
        <v>78</v>
      </c>
      <c r="F355" t="s">
        <v>807</v>
      </c>
      <c r="G355" t="s">
        <v>19</v>
      </c>
      <c r="H355" t="s">
        <v>27</v>
      </c>
    </row>
    <row r="356" spans="1:8" x14ac:dyDescent="0.3">
      <c r="A356" s="3">
        <v>54390</v>
      </c>
      <c r="B356" t="s">
        <v>808</v>
      </c>
      <c r="C356" t="s">
        <v>809</v>
      </c>
      <c r="D356" t="s">
        <v>11</v>
      </c>
      <c r="E356" t="s">
        <v>810</v>
      </c>
      <c r="F356" t="s">
        <v>811</v>
      </c>
      <c r="G356" t="s">
        <v>11</v>
      </c>
      <c r="H356" t="s">
        <v>85</v>
      </c>
    </row>
    <row r="357" spans="1:8" x14ac:dyDescent="0.3">
      <c r="A357" s="3">
        <v>62470</v>
      </c>
      <c r="B357" t="s">
        <v>808</v>
      </c>
      <c r="C357" t="s">
        <v>812</v>
      </c>
      <c r="D357" t="s">
        <v>11</v>
      </c>
      <c r="E357" t="s">
        <v>14</v>
      </c>
      <c r="F357" t="s">
        <v>443</v>
      </c>
      <c r="G357" t="s">
        <v>11</v>
      </c>
      <c r="H357" t="s">
        <v>11</v>
      </c>
    </row>
    <row r="358" spans="1:8" x14ac:dyDescent="0.3">
      <c r="A358" s="3">
        <v>59566</v>
      </c>
      <c r="B358" t="s">
        <v>808</v>
      </c>
      <c r="C358" t="s">
        <v>813</v>
      </c>
      <c r="D358" t="s">
        <v>11</v>
      </c>
      <c r="E358" t="s">
        <v>19</v>
      </c>
      <c r="F358" t="s">
        <v>495</v>
      </c>
      <c r="G358" t="s">
        <v>11</v>
      </c>
      <c r="H358" t="s">
        <v>11</v>
      </c>
    </row>
    <row r="359" spans="1:8" x14ac:dyDescent="0.3">
      <c r="A359" s="3">
        <v>548226</v>
      </c>
      <c r="B359" t="s">
        <v>808</v>
      </c>
      <c r="C359" t="s">
        <v>814</v>
      </c>
      <c r="D359" t="s">
        <v>11</v>
      </c>
      <c r="E359" t="s">
        <v>27</v>
      </c>
      <c r="F359" t="s">
        <v>698</v>
      </c>
      <c r="G359" t="s">
        <v>11</v>
      </c>
      <c r="H359" t="s">
        <v>19</v>
      </c>
    </row>
    <row r="360" spans="1:8" x14ac:dyDescent="0.3">
      <c r="A360" s="3">
        <v>152970</v>
      </c>
      <c r="B360" t="s">
        <v>808</v>
      </c>
      <c r="C360" t="s">
        <v>815</v>
      </c>
      <c r="D360" t="s">
        <v>11</v>
      </c>
      <c r="E360" t="s">
        <v>387</v>
      </c>
      <c r="F360" t="s">
        <v>816</v>
      </c>
      <c r="G360" t="s">
        <v>11</v>
      </c>
      <c r="H360" t="s">
        <v>27</v>
      </c>
    </row>
    <row r="361" spans="1:8" x14ac:dyDescent="0.3">
      <c r="A361" s="3">
        <v>441536</v>
      </c>
      <c r="B361" t="s">
        <v>808</v>
      </c>
      <c r="C361" t="s">
        <v>817</v>
      </c>
      <c r="D361" t="s">
        <v>11</v>
      </c>
      <c r="E361" t="s">
        <v>85</v>
      </c>
      <c r="F361" t="s">
        <v>332</v>
      </c>
      <c r="G361" t="s">
        <v>11</v>
      </c>
      <c r="H361" t="s">
        <v>27</v>
      </c>
    </row>
    <row r="362" spans="1:8" x14ac:dyDescent="0.3">
      <c r="A362" s="3">
        <v>74251</v>
      </c>
      <c r="B362" t="s">
        <v>808</v>
      </c>
      <c r="C362" t="s">
        <v>818</v>
      </c>
      <c r="D362" t="s">
        <v>11</v>
      </c>
      <c r="E362" t="s">
        <v>114</v>
      </c>
      <c r="F362" t="s">
        <v>819</v>
      </c>
      <c r="G362" t="s">
        <v>11</v>
      </c>
      <c r="H362" t="s">
        <v>27</v>
      </c>
    </row>
    <row r="363" spans="1:8" x14ac:dyDescent="0.3">
      <c r="A363" s="3">
        <v>464009</v>
      </c>
      <c r="B363" t="s">
        <v>808</v>
      </c>
      <c r="C363" t="s">
        <v>820</v>
      </c>
      <c r="D363" t="s">
        <v>11</v>
      </c>
      <c r="E363" t="s">
        <v>170</v>
      </c>
      <c r="F363" t="s">
        <v>821</v>
      </c>
      <c r="G363" t="s">
        <v>11</v>
      </c>
      <c r="H363" t="s">
        <v>16</v>
      </c>
    </row>
    <row r="364" spans="1:8" x14ac:dyDescent="0.3">
      <c r="A364" s="3">
        <v>161922</v>
      </c>
      <c r="B364" t="s">
        <v>808</v>
      </c>
      <c r="C364" t="s">
        <v>822</v>
      </c>
      <c r="D364" t="s">
        <v>11</v>
      </c>
      <c r="E364" t="s">
        <v>634</v>
      </c>
      <c r="F364" t="s">
        <v>823</v>
      </c>
      <c r="G364" t="s">
        <v>11</v>
      </c>
      <c r="H364" t="s">
        <v>37</v>
      </c>
    </row>
    <row r="365" spans="1:8" x14ac:dyDescent="0.3">
      <c r="A365" s="3">
        <v>43207</v>
      </c>
      <c r="B365" t="s">
        <v>808</v>
      </c>
      <c r="C365" t="s">
        <v>824</v>
      </c>
      <c r="D365" t="s">
        <v>11</v>
      </c>
      <c r="E365" t="s">
        <v>825</v>
      </c>
      <c r="F365" t="s">
        <v>826</v>
      </c>
      <c r="G365" t="s">
        <v>11</v>
      </c>
      <c r="H365" t="s">
        <v>152</v>
      </c>
    </row>
    <row r="366" spans="1:8" x14ac:dyDescent="0.3">
      <c r="A366" s="3">
        <v>159207</v>
      </c>
      <c r="B366" t="s">
        <v>827</v>
      </c>
      <c r="C366" t="s">
        <v>828</v>
      </c>
      <c r="D366" t="s">
        <v>11</v>
      </c>
      <c r="E366" t="s">
        <v>250</v>
      </c>
      <c r="F366" t="s">
        <v>829</v>
      </c>
      <c r="G366" t="s">
        <v>11</v>
      </c>
      <c r="H366" t="s">
        <v>14</v>
      </c>
    </row>
    <row r="367" spans="1:8" x14ac:dyDescent="0.3">
      <c r="A367" s="3">
        <v>610746</v>
      </c>
      <c r="B367" t="s">
        <v>827</v>
      </c>
      <c r="C367" t="s">
        <v>830</v>
      </c>
      <c r="D367" t="s">
        <v>11</v>
      </c>
      <c r="E367" t="s">
        <v>831</v>
      </c>
      <c r="F367" t="s">
        <v>832</v>
      </c>
      <c r="G367" t="s">
        <v>11</v>
      </c>
      <c r="H367" t="s">
        <v>142</v>
      </c>
    </row>
    <row r="368" spans="1:8" x14ac:dyDescent="0.3">
      <c r="A368" s="3">
        <v>72285</v>
      </c>
      <c r="B368" t="s">
        <v>827</v>
      </c>
      <c r="C368" t="s">
        <v>833</v>
      </c>
      <c r="D368" t="s">
        <v>11</v>
      </c>
      <c r="E368" t="s">
        <v>834</v>
      </c>
      <c r="F368" t="s">
        <v>835</v>
      </c>
      <c r="G368" t="s">
        <v>19</v>
      </c>
      <c r="H368" t="s">
        <v>16</v>
      </c>
    </row>
    <row r="369" spans="1:8" x14ac:dyDescent="0.3">
      <c r="A369" s="3">
        <v>459357</v>
      </c>
      <c r="B369" t="s">
        <v>827</v>
      </c>
      <c r="C369" t="s">
        <v>836</v>
      </c>
      <c r="D369" t="s">
        <v>11</v>
      </c>
      <c r="E369" t="s">
        <v>837</v>
      </c>
      <c r="F369" t="s">
        <v>838</v>
      </c>
      <c r="G369" t="s">
        <v>11</v>
      </c>
      <c r="H369" t="s">
        <v>64</v>
      </c>
    </row>
    <row r="370" spans="1:8" x14ac:dyDescent="0.3">
      <c r="A370" s="3">
        <v>786236</v>
      </c>
      <c r="B370" t="s">
        <v>827</v>
      </c>
      <c r="C370" t="s">
        <v>839</v>
      </c>
      <c r="D370" t="s">
        <v>11</v>
      </c>
      <c r="E370" t="s">
        <v>634</v>
      </c>
      <c r="F370" t="s">
        <v>840</v>
      </c>
      <c r="G370" t="s">
        <v>11</v>
      </c>
      <c r="H370" t="s">
        <v>74</v>
      </c>
    </row>
    <row r="371" spans="1:8" x14ac:dyDescent="0.3">
      <c r="A371" s="3">
        <v>63573</v>
      </c>
      <c r="B371" t="s">
        <v>827</v>
      </c>
      <c r="C371" t="s">
        <v>841</v>
      </c>
      <c r="D371" t="s">
        <v>11</v>
      </c>
      <c r="E371" t="s">
        <v>74</v>
      </c>
      <c r="F371" t="s">
        <v>842</v>
      </c>
      <c r="G371" t="s">
        <v>11</v>
      </c>
      <c r="H371" t="s">
        <v>14</v>
      </c>
    </row>
    <row r="372" spans="1:8" x14ac:dyDescent="0.3">
      <c r="A372" s="3">
        <v>62856</v>
      </c>
      <c r="B372" t="s">
        <v>827</v>
      </c>
      <c r="C372" t="s">
        <v>843</v>
      </c>
      <c r="D372" t="s">
        <v>11</v>
      </c>
      <c r="E372" t="s">
        <v>46</v>
      </c>
      <c r="F372" t="s">
        <v>414</v>
      </c>
      <c r="G372" t="s">
        <v>11</v>
      </c>
      <c r="H372" t="s">
        <v>19</v>
      </c>
    </row>
    <row r="373" spans="1:8" x14ac:dyDescent="0.3">
      <c r="A373" s="3">
        <v>42528</v>
      </c>
      <c r="B373" t="s">
        <v>827</v>
      </c>
      <c r="C373" t="s">
        <v>844</v>
      </c>
      <c r="D373" t="s">
        <v>11</v>
      </c>
      <c r="E373" t="s">
        <v>130</v>
      </c>
      <c r="F373" t="s">
        <v>845</v>
      </c>
      <c r="G373" t="s">
        <v>11</v>
      </c>
      <c r="H373" t="s">
        <v>14</v>
      </c>
    </row>
    <row r="374" spans="1:8" x14ac:dyDescent="0.3">
      <c r="A374" s="3">
        <v>161984</v>
      </c>
      <c r="B374" t="s">
        <v>827</v>
      </c>
      <c r="C374" t="s">
        <v>846</v>
      </c>
      <c r="D374" t="s">
        <v>11</v>
      </c>
      <c r="E374" t="s">
        <v>247</v>
      </c>
      <c r="F374" t="s">
        <v>847</v>
      </c>
      <c r="G374" t="s">
        <v>11</v>
      </c>
      <c r="H374" t="s">
        <v>64</v>
      </c>
    </row>
    <row r="375" spans="1:8" x14ac:dyDescent="0.3">
      <c r="A375" s="3">
        <v>164713</v>
      </c>
      <c r="B375" t="s">
        <v>848</v>
      </c>
      <c r="C375" t="s">
        <v>8</v>
      </c>
      <c r="D375" t="s">
        <v>8</v>
      </c>
      <c r="E375" t="s">
        <v>8</v>
      </c>
      <c r="F375" t="s">
        <v>8</v>
      </c>
      <c r="G375" t="s">
        <v>8</v>
      </c>
      <c r="H375" t="s">
        <v>8</v>
      </c>
    </row>
    <row r="376" spans="1:8" x14ac:dyDescent="0.3">
      <c r="A376" s="3">
        <v>441334</v>
      </c>
      <c r="B376" t="s">
        <v>848</v>
      </c>
      <c r="C376" t="s">
        <v>849</v>
      </c>
      <c r="D376" t="s">
        <v>11</v>
      </c>
      <c r="E376" t="s">
        <v>64</v>
      </c>
      <c r="F376" t="s">
        <v>850</v>
      </c>
      <c r="G376" t="s">
        <v>11</v>
      </c>
      <c r="H376" t="s">
        <v>19</v>
      </c>
    </row>
    <row r="377" spans="1:8" x14ac:dyDescent="0.3">
      <c r="A377" s="3">
        <v>152102</v>
      </c>
      <c r="B377" t="s">
        <v>848</v>
      </c>
      <c r="C377" t="s">
        <v>851</v>
      </c>
      <c r="D377" t="s">
        <v>11</v>
      </c>
      <c r="E377" t="s">
        <v>852</v>
      </c>
      <c r="F377" t="s">
        <v>853</v>
      </c>
      <c r="G377" t="s">
        <v>11</v>
      </c>
      <c r="H377" t="s">
        <v>14</v>
      </c>
    </row>
    <row r="378" spans="1:8" x14ac:dyDescent="0.3">
      <c r="A378" s="3">
        <v>61866</v>
      </c>
      <c r="B378" t="s">
        <v>848</v>
      </c>
      <c r="C378" t="s">
        <v>854</v>
      </c>
      <c r="D378" t="s">
        <v>11</v>
      </c>
      <c r="E378" t="s">
        <v>261</v>
      </c>
      <c r="F378" t="s">
        <v>855</v>
      </c>
      <c r="G378" t="s">
        <v>11</v>
      </c>
      <c r="H378" t="s">
        <v>14</v>
      </c>
    </row>
    <row r="379" spans="1:8" x14ac:dyDescent="0.3">
      <c r="A379" s="3">
        <v>459296</v>
      </c>
      <c r="B379" t="s">
        <v>848</v>
      </c>
      <c r="C379" t="s">
        <v>856</v>
      </c>
      <c r="D379" t="s">
        <v>11</v>
      </c>
      <c r="E379" t="s">
        <v>626</v>
      </c>
      <c r="F379" t="s">
        <v>857</v>
      </c>
      <c r="G379" t="s">
        <v>11</v>
      </c>
      <c r="H379" t="s">
        <v>130</v>
      </c>
    </row>
    <row r="380" spans="1:8" x14ac:dyDescent="0.3">
      <c r="A380" s="3">
        <v>571250</v>
      </c>
      <c r="B380" t="s">
        <v>848</v>
      </c>
      <c r="C380" t="s">
        <v>858</v>
      </c>
      <c r="D380" t="s">
        <v>11</v>
      </c>
      <c r="E380" t="s">
        <v>152</v>
      </c>
      <c r="F380" t="s">
        <v>859</v>
      </c>
      <c r="G380" t="s">
        <v>11</v>
      </c>
      <c r="H380" t="s">
        <v>27</v>
      </c>
    </row>
    <row r="381" spans="1:8" x14ac:dyDescent="0.3">
      <c r="A381" s="3">
        <v>149973</v>
      </c>
      <c r="B381" t="s">
        <v>860</v>
      </c>
      <c r="C381" t="s">
        <v>861</v>
      </c>
      <c r="D381" t="s">
        <v>11</v>
      </c>
      <c r="E381" t="s">
        <v>329</v>
      </c>
      <c r="F381" t="s">
        <v>862</v>
      </c>
      <c r="G381" t="s">
        <v>11</v>
      </c>
      <c r="H381" t="s">
        <v>16</v>
      </c>
    </row>
    <row r="382" spans="1:8" x14ac:dyDescent="0.3">
      <c r="A382" s="3">
        <v>458616</v>
      </c>
      <c r="B382" t="s">
        <v>860</v>
      </c>
      <c r="C382" t="s">
        <v>863</v>
      </c>
      <c r="D382" t="s">
        <v>11</v>
      </c>
      <c r="E382" t="s">
        <v>25</v>
      </c>
      <c r="F382" t="s">
        <v>864</v>
      </c>
      <c r="G382" t="s">
        <v>11</v>
      </c>
      <c r="H382" t="s">
        <v>37</v>
      </c>
    </row>
    <row r="383" spans="1:8" x14ac:dyDescent="0.3">
      <c r="A383" s="3">
        <v>441715</v>
      </c>
      <c r="B383" t="s">
        <v>860</v>
      </c>
      <c r="C383" t="s">
        <v>865</v>
      </c>
      <c r="D383" t="s">
        <v>11</v>
      </c>
      <c r="E383" t="s">
        <v>299</v>
      </c>
      <c r="F383" t="s">
        <v>392</v>
      </c>
      <c r="G383" t="s">
        <v>11</v>
      </c>
      <c r="H383" t="s">
        <v>27</v>
      </c>
    </row>
    <row r="384" spans="1:8" x14ac:dyDescent="0.3">
      <c r="A384" s="3">
        <v>61197</v>
      </c>
      <c r="B384" t="s">
        <v>860</v>
      </c>
      <c r="C384" t="s">
        <v>221</v>
      </c>
      <c r="D384" t="s">
        <v>11</v>
      </c>
      <c r="E384" t="s">
        <v>11</v>
      </c>
      <c r="F384" t="s">
        <v>54</v>
      </c>
      <c r="G384" t="s">
        <v>11</v>
      </c>
      <c r="H384" t="s">
        <v>11</v>
      </c>
    </row>
    <row r="385" spans="1:8" x14ac:dyDescent="0.3">
      <c r="A385" s="3">
        <v>45918</v>
      </c>
      <c r="B385" t="s">
        <v>860</v>
      </c>
      <c r="C385" t="s">
        <v>866</v>
      </c>
      <c r="D385" t="s">
        <v>11</v>
      </c>
      <c r="E385" t="s">
        <v>22</v>
      </c>
      <c r="F385" t="s">
        <v>867</v>
      </c>
      <c r="G385" t="s">
        <v>11</v>
      </c>
      <c r="H385" t="s">
        <v>14</v>
      </c>
    </row>
    <row r="386" spans="1:8" x14ac:dyDescent="0.3">
      <c r="A386" s="3">
        <v>66802</v>
      </c>
      <c r="B386" t="s">
        <v>860</v>
      </c>
      <c r="C386" t="s">
        <v>868</v>
      </c>
      <c r="D386" t="s">
        <v>11</v>
      </c>
      <c r="E386" t="s">
        <v>27</v>
      </c>
      <c r="F386" t="s">
        <v>723</v>
      </c>
      <c r="G386" t="s">
        <v>11</v>
      </c>
      <c r="H386" t="s">
        <v>19</v>
      </c>
    </row>
    <row r="387" spans="1:8" x14ac:dyDescent="0.3">
      <c r="A387" s="3">
        <v>544600</v>
      </c>
      <c r="B387" t="s">
        <v>860</v>
      </c>
      <c r="C387" t="s">
        <v>869</v>
      </c>
      <c r="D387" t="s">
        <v>11</v>
      </c>
      <c r="E387" t="s">
        <v>472</v>
      </c>
      <c r="F387" t="s">
        <v>870</v>
      </c>
      <c r="G387" t="s">
        <v>11</v>
      </c>
      <c r="H387" t="s">
        <v>35</v>
      </c>
    </row>
    <row r="388" spans="1:8" x14ac:dyDescent="0.3">
      <c r="A388" s="3">
        <v>441616</v>
      </c>
      <c r="B388" t="s">
        <v>860</v>
      </c>
      <c r="C388" t="s">
        <v>871</v>
      </c>
      <c r="D388" t="s">
        <v>11</v>
      </c>
      <c r="E388" t="s">
        <v>872</v>
      </c>
      <c r="F388" t="s">
        <v>873</v>
      </c>
      <c r="G388" t="s">
        <v>11</v>
      </c>
      <c r="H388" t="s">
        <v>35</v>
      </c>
    </row>
    <row r="389" spans="1:8" x14ac:dyDescent="0.3">
      <c r="A389" s="3">
        <v>147672</v>
      </c>
      <c r="B389" t="s">
        <v>860</v>
      </c>
      <c r="C389" t="s">
        <v>874</v>
      </c>
      <c r="D389" t="s">
        <v>11</v>
      </c>
      <c r="E389" t="s">
        <v>64</v>
      </c>
      <c r="F389" t="s">
        <v>875</v>
      </c>
      <c r="G389" t="s">
        <v>11</v>
      </c>
      <c r="H389" t="s">
        <v>14</v>
      </c>
    </row>
    <row r="390" spans="1:8" x14ac:dyDescent="0.3">
      <c r="A390" s="3">
        <v>712617</v>
      </c>
      <c r="B390" t="s">
        <v>860</v>
      </c>
      <c r="C390" t="s">
        <v>876</v>
      </c>
      <c r="D390" t="s">
        <v>11</v>
      </c>
      <c r="E390" t="s">
        <v>46</v>
      </c>
      <c r="F390" t="s">
        <v>703</v>
      </c>
      <c r="G390" t="s">
        <v>11</v>
      </c>
      <c r="H390" t="s">
        <v>19</v>
      </c>
    </row>
    <row r="391" spans="1:8" x14ac:dyDescent="0.3">
      <c r="A391" s="3">
        <v>67321</v>
      </c>
      <c r="B391" t="s">
        <v>877</v>
      </c>
      <c r="C391" t="s">
        <v>878</v>
      </c>
      <c r="D391" t="s">
        <v>11</v>
      </c>
      <c r="E391" t="s">
        <v>139</v>
      </c>
      <c r="F391" t="s">
        <v>879</v>
      </c>
      <c r="G391" t="s">
        <v>11</v>
      </c>
      <c r="H391" t="s">
        <v>14</v>
      </c>
    </row>
    <row r="392" spans="1:8" x14ac:dyDescent="0.3">
      <c r="A392" s="3">
        <v>399759</v>
      </c>
      <c r="B392" t="s">
        <v>877</v>
      </c>
      <c r="C392" t="s">
        <v>880</v>
      </c>
      <c r="D392" t="s">
        <v>11</v>
      </c>
      <c r="E392" t="s">
        <v>178</v>
      </c>
      <c r="F392" t="s">
        <v>881</v>
      </c>
      <c r="G392" t="s">
        <v>11</v>
      </c>
      <c r="H392" t="s">
        <v>14</v>
      </c>
    </row>
    <row r="393" spans="1:8" x14ac:dyDescent="0.3">
      <c r="A393" s="3">
        <v>72959</v>
      </c>
      <c r="B393" t="s">
        <v>877</v>
      </c>
      <c r="C393" t="s">
        <v>882</v>
      </c>
      <c r="D393" t="s">
        <v>11</v>
      </c>
      <c r="E393" t="s">
        <v>19</v>
      </c>
      <c r="F393" t="s">
        <v>883</v>
      </c>
      <c r="G393" t="s">
        <v>19</v>
      </c>
      <c r="H393" t="s">
        <v>19</v>
      </c>
    </row>
    <row r="394" spans="1:8" x14ac:dyDescent="0.3">
      <c r="A394" s="3">
        <v>748409</v>
      </c>
      <c r="B394" t="s">
        <v>877</v>
      </c>
      <c r="C394" t="s">
        <v>884</v>
      </c>
      <c r="D394" t="s">
        <v>11</v>
      </c>
      <c r="E394" t="s">
        <v>27</v>
      </c>
      <c r="F394" t="s">
        <v>885</v>
      </c>
      <c r="G394" t="s">
        <v>11</v>
      </c>
      <c r="H394" t="s">
        <v>19</v>
      </c>
    </row>
    <row r="395" spans="1:8" x14ac:dyDescent="0.3">
      <c r="A395" s="3">
        <v>90393</v>
      </c>
      <c r="B395" t="s">
        <v>877</v>
      </c>
      <c r="C395" t="s">
        <v>886</v>
      </c>
      <c r="D395" t="s">
        <v>11</v>
      </c>
      <c r="E395" t="s">
        <v>215</v>
      </c>
      <c r="F395" t="s">
        <v>887</v>
      </c>
      <c r="G395" t="s">
        <v>11</v>
      </c>
      <c r="H395" t="s">
        <v>16</v>
      </c>
    </row>
    <row r="396" spans="1:8" x14ac:dyDescent="0.3">
      <c r="A396" s="3">
        <v>810335</v>
      </c>
      <c r="B396" t="s">
        <v>877</v>
      </c>
      <c r="C396" t="s">
        <v>888</v>
      </c>
      <c r="D396" t="s">
        <v>11</v>
      </c>
      <c r="E396" t="s">
        <v>99</v>
      </c>
      <c r="F396" t="s">
        <v>889</v>
      </c>
      <c r="G396" t="s">
        <v>11</v>
      </c>
      <c r="H396" t="s">
        <v>19</v>
      </c>
    </row>
    <row r="397" spans="1:8" x14ac:dyDescent="0.3">
      <c r="A397" s="3">
        <v>441555</v>
      </c>
      <c r="B397" t="s">
        <v>877</v>
      </c>
      <c r="C397" t="s">
        <v>890</v>
      </c>
      <c r="D397" t="s">
        <v>11</v>
      </c>
      <c r="E397" t="s">
        <v>43</v>
      </c>
      <c r="F397" t="s">
        <v>891</v>
      </c>
      <c r="G397" t="s">
        <v>11</v>
      </c>
      <c r="H397" t="s">
        <v>14</v>
      </c>
    </row>
    <row r="398" spans="1:8" x14ac:dyDescent="0.3">
      <c r="A398" s="3">
        <v>808686</v>
      </c>
      <c r="B398" t="s">
        <v>877</v>
      </c>
      <c r="C398" t="s">
        <v>892</v>
      </c>
      <c r="D398" t="s">
        <v>11</v>
      </c>
      <c r="E398" t="s">
        <v>16</v>
      </c>
      <c r="F398" t="s">
        <v>893</v>
      </c>
      <c r="G398" t="s">
        <v>11</v>
      </c>
      <c r="H398" t="s">
        <v>19</v>
      </c>
    </row>
    <row r="399" spans="1:8" x14ac:dyDescent="0.3">
      <c r="A399" s="3">
        <v>443253</v>
      </c>
      <c r="B399" t="s">
        <v>877</v>
      </c>
      <c r="C399" t="s">
        <v>894</v>
      </c>
      <c r="D399" t="s">
        <v>11</v>
      </c>
      <c r="E399" t="s">
        <v>69</v>
      </c>
      <c r="F399" t="s">
        <v>230</v>
      </c>
      <c r="G399" t="s">
        <v>11</v>
      </c>
      <c r="H399" t="s">
        <v>27</v>
      </c>
    </row>
    <row r="400" spans="1:8" x14ac:dyDescent="0.3">
      <c r="A400" s="3">
        <v>162752</v>
      </c>
      <c r="B400" t="s">
        <v>877</v>
      </c>
      <c r="C400" t="s">
        <v>895</v>
      </c>
      <c r="D400" t="s">
        <v>11</v>
      </c>
      <c r="E400" t="s">
        <v>105</v>
      </c>
      <c r="F400" t="s">
        <v>611</v>
      </c>
      <c r="G400" t="s">
        <v>11</v>
      </c>
      <c r="H400" t="s">
        <v>14</v>
      </c>
    </row>
    <row r="401" spans="1:8" x14ac:dyDescent="0.3">
      <c r="A401" s="3">
        <v>58944</v>
      </c>
      <c r="B401" t="s">
        <v>896</v>
      </c>
      <c r="C401" t="s">
        <v>897</v>
      </c>
      <c r="D401" t="s">
        <v>11</v>
      </c>
      <c r="E401" t="s">
        <v>12</v>
      </c>
      <c r="F401" t="s">
        <v>898</v>
      </c>
      <c r="G401" t="s">
        <v>11</v>
      </c>
      <c r="H401" t="s">
        <v>27</v>
      </c>
    </row>
    <row r="402" spans="1:8" x14ac:dyDescent="0.3">
      <c r="A402" s="3">
        <v>546048</v>
      </c>
      <c r="B402" t="s">
        <v>896</v>
      </c>
      <c r="C402" t="s">
        <v>899</v>
      </c>
      <c r="D402" t="s">
        <v>19</v>
      </c>
      <c r="E402" t="s">
        <v>900</v>
      </c>
      <c r="F402" t="s">
        <v>901</v>
      </c>
      <c r="G402" t="s">
        <v>19</v>
      </c>
      <c r="H402" t="s">
        <v>37</v>
      </c>
    </row>
    <row r="403" spans="1:8" x14ac:dyDescent="0.3">
      <c r="A403" s="3">
        <v>76486</v>
      </c>
      <c r="B403" t="s">
        <v>896</v>
      </c>
      <c r="C403" t="s">
        <v>902</v>
      </c>
      <c r="D403" t="s">
        <v>11</v>
      </c>
      <c r="E403" t="s">
        <v>903</v>
      </c>
      <c r="F403" t="s">
        <v>904</v>
      </c>
      <c r="G403" t="s">
        <v>11</v>
      </c>
      <c r="H403" t="s">
        <v>46</v>
      </c>
    </row>
    <row r="404" spans="1:8" x14ac:dyDescent="0.3">
      <c r="A404" s="3">
        <v>399801</v>
      </c>
      <c r="B404" t="s">
        <v>896</v>
      </c>
      <c r="C404" t="s">
        <v>905</v>
      </c>
      <c r="D404" t="s">
        <v>11</v>
      </c>
      <c r="E404" t="s">
        <v>27</v>
      </c>
      <c r="F404" t="s">
        <v>906</v>
      </c>
      <c r="G404" t="s">
        <v>11</v>
      </c>
      <c r="H404" t="s">
        <v>19</v>
      </c>
    </row>
    <row r="405" spans="1:8" x14ac:dyDescent="0.3">
      <c r="A405" s="3">
        <v>539552</v>
      </c>
      <c r="B405" t="s">
        <v>896</v>
      </c>
      <c r="C405" t="s">
        <v>907</v>
      </c>
      <c r="D405" t="s">
        <v>11</v>
      </c>
      <c r="E405" t="s">
        <v>229</v>
      </c>
      <c r="F405" t="s">
        <v>908</v>
      </c>
      <c r="G405" t="s">
        <v>11</v>
      </c>
      <c r="H405" t="s">
        <v>16</v>
      </c>
    </row>
    <row r="406" spans="1:8" x14ac:dyDescent="0.3">
      <c r="A406" s="3">
        <v>446510</v>
      </c>
      <c r="B406" t="s">
        <v>896</v>
      </c>
      <c r="C406" t="s">
        <v>909</v>
      </c>
      <c r="D406" t="s">
        <v>19</v>
      </c>
      <c r="E406" t="s">
        <v>105</v>
      </c>
      <c r="F406" t="s">
        <v>910</v>
      </c>
      <c r="G406" t="s">
        <v>19</v>
      </c>
      <c r="H406" t="s">
        <v>14</v>
      </c>
    </row>
    <row r="407" spans="1:8" x14ac:dyDescent="0.3">
      <c r="A407" s="3">
        <v>463627</v>
      </c>
      <c r="B407" t="s">
        <v>896</v>
      </c>
      <c r="C407" t="s">
        <v>911</v>
      </c>
      <c r="D407" t="s">
        <v>11</v>
      </c>
      <c r="E407" t="s">
        <v>46</v>
      </c>
      <c r="F407" t="s">
        <v>912</v>
      </c>
      <c r="G407" t="s">
        <v>11</v>
      </c>
      <c r="H407" t="s">
        <v>19</v>
      </c>
    </row>
    <row r="408" spans="1:8" x14ac:dyDescent="0.3">
      <c r="A408" s="3">
        <v>79833</v>
      </c>
      <c r="B408" t="s">
        <v>896</v>
      </c>
      <c r="C408" t="s">
        <v>913</v>
      </c>
      <c r="D408" t="s">
        <v>19</v>
      </c>
      <c r="E408" t="s">
        <v>336</v>
      </c>
      <c r="F408" t="s">
        <v>477</v>
      </c>
      <c r="G408" t="s">
        <v>19</v>
      </c>
      <c r="H408" t="s">
        <v>27</v>
      </c>
    </row>
    <row r="409" spans="1:8" x14ac:dyDescent="0.3">
      <c r="A409" s="3">
        <v>452563</v>
      </c>
      <c r="B409" t="s">
        <v>896</v>
      </c>
      <c r="C409" t="s">
        <v>914</v>
      </c>
      <c r="D409" t="s">
        <v>11</v>
      </c>
      <c r="E409" t="s">
        <v>40</v>
      </c>
      <c r="F409" t="s">
        <v>915</v>
      </c>
      <c r="G409" t="s">
        <v>11</v>
      </c>
      <c r="H409" t="s">
        <v>19</v>
      </c>
    </row>
    <row r="410" spans="1:8" x14ac:dyDescent="0.3">
      <c r="A410" s="3">
        <v>463321</v>
      </c>
      <c r="B410" t="s">
        <v>896</v>
      </c>
      <c r="C410" t="s">
        <v>916</v>
      </c>
      <c r="D410" t="s">
        <v>11</v>
      </c>
      <c r="E410" t="s">
        <v>14</v>
      </c>
      <c r="F410" t="s">
        <v>917</v>
      </c>
      <c r="G410" t="s">
        <v>11</v>
      </c>
      <c r="H410" t="s">
        <v>19</v>
      </c>
    </row>
    <row r="411" spans="1:8" x14ac:dyDescent="0.3">
      <c r="A411" s="3">
        <v>487685</v>
      </c>
      <c r="B411" t="s">
        <v>918</v>
      </c>
      <c r="C411" t="s">
        <v>919</v>
      </c>
      <c r="D411" t="s">
        <v>11</v>
      </c>
      <c r="E411" t="s">
        <v>89</v>
      </c>
      <c r="F411" t="s">
        <v>920</v>
      </c>
      <c r="G411" t="s">
        <v>11</v>
      </c>
      <c r="H411" t="s">
        <v>27</v>
      </c>
    </row>
    <row r="412" spans="1:8" x14ac:dyDescent="0.3">
      <c r="A412" s="3">
        <v>64073</v>
      </c>
      <c r="B412" t="s">
        <v>918</v>
      </c>
      <c r="C412" t="s">
        <v>921</v>
      </c>
      <c r="D412" t="s">
        <v>19</v>
      </c>
      <c r="E412" t="s">
        <v>348</v>
      </c>
      <c r="F412" t="s">
        <v>922</v>
      </c>
      <c r="G412" t="s">
        <v>19</v>
      </c>
      <c r="H412" t="s">
        <v>74</v>
      </c>
    </row>
    <row r="413" spans="1:8" x14ac:dyDescent="0.3">
      <c r="A413" s="3">
        <v>472599</v>
      </c>
      <c r="B413" t="s">
        <v>918</v>
      </c>
      <c r="C413" t="s">
        <v>923</v>
      </c>
      <c r="D413" t="s">
        <v>11</v>
      </c>
      <c r="E413" t="s">
        <v>74</v>
      </c>
      <c r="F413" t="s">
        <v>924</v>
      </c>
      <c r="G413" t="s">
        <v>11</v>
      </c>
      <c r="H413" t="s">
        <v>19</v>
      </c>
    </row>
    <row r="414" spans="1:8" x14ac:dyDescent="0.3">
      <c r="A414" s="3">
        <v>558423</v>
      </c>
      <c r="B414" t="s">
        <v>918</v>
      </c>
      <c r="C414" t="s">
        <v>925</v>
      </c>
      <c r="D414" t="s">
        <v>11</v>
      </c>
      <c r="E414" t="s">
        <v>926</v>
      </c>
      <c r="F414" t="s">
        <v>927</v>
      </c>
      <c r="G414" t="s">
        <v>11</v>
      </c>
      <c r="H414" t="s">
        <v>37</v>
      </c>
    </row>
    <row r="415" spans="1:8" x14ac:dyDescent="0.3">
      <c r="A415" s="3">
        <v>526465</v>
      </c>
      <c r="B415" t="s">
        <v>918</v>
      </c>
      <c r="C415" t="s">
        <v>928</v>
      </c>
      <c r="D415" t="s">
        <v>19</v>
      </c>
      <c r="E415" t="s">
        <v>436</v>
      </c>
      <c r="F415" t="s">
        <v>929</v>
      </c>
      <c r="G415" t="s">
        <v>19</v>
      </c>
      <c r="H415" t="s">
        <v>46</v>
      </c>
    </row>
    <row r="416" spans="1:8" x14ac:dyDescent="0.3">
      <c r="A416" s="3">
        <v>148596</v>
      </c>
      <c r="B416" t="s">
        <v>918</v>
      </c>
      <c r="C416" t="s">
        <v>930</v>
      </c>
      <c r="D416" t="s">
        <v>11</v>
      </c>
      <c r="E416" t="s">
        <v>419</v>
      </c>
      <c r="F416" t="s">
        <v>931</v>
      </c>
      <c r="G416" t="s">
        <v>11</v>
      </c>
      <c r="H416" t="s">
        <v>46</v>
      </c>
    </row>
    <row r="417" spans="1:8" x14ac:dyDescent="0.3">
      <c r="A417" s="3">
        <v>91340</v>
      </c>
      <c r="B417" t="s">
        <v>918</v>
      </c>
      <c r="C417" t="s">
        <v>932</v>
      </c>
      <c r="D417" t="s">
        <v>11</v>
      </c>
      <c r="E417" t="s">
        <v>78</v>
      </c>
      <c r="F417" t="s">
        <v>933</v>
      </c>
      <c r="G417" t="s">
        <v>11</v>
      </c>
      <c r="H417" t="s">
        <v>35</v>
      </c>
    </row>
    <row r="418" spans="1:8" x14ac:dyDescent="0.3">
      <c r="A418" s="3">
        <v>459183</v>
      </c>
      <c r="B418" t="s">
        <v>918</v>
      </c>
      <c r="C418" t="s">
        <v>785</v>
      </c>
      <c r="D418" t="s">
        <v>11</v>
      </c>
      <c r="E418" t="s">
        <v>152</v>
      </c>
      <c r="F418" t="s">
        <v>934</v>
      </c>
      <c r="G418" t="s">
        <v>11</v>
      </c>
      <c r="H418" t="s">
        <v>14</v>
      </c>
    </row>
    <row r="419" spans="1:8" x14ac:dyDescent="0.3">
      <c r="A419" s="3">
        <v>58208</v>
      </c>
      <c r="B419" t="s">
        <v>918</v>
      </c>
      <c r="C419" t="s">
        <v>935</v>
      </c>
      <c r="D419" t="s">
        <v>11</v>
      </c>
      <c r="E419" t="s">
        <v>27</v>
      </c>
      <c r="F419" t="s">
        <v>936</v>
      </c>
      <c r="G419" t="s">
        <v>11</v>
      </c>
      <c r="H419" t="s">
        <v>19</v>
      </c>
    </row>
    <row r="420" spans="1:8" x14ac:dyDescent="0.3">
      <c r="A420" s="3">
        <v>57987</v>
      </c>
      <c r="B420" t="s">
        <v>918</v>
      </c>
      <c r="C420" t="s">
        <v>937</v>
      </c>
      <c r="D420" t="s">
        <v>11</v>
      </c>
      <c r="E420" t="s">
        <v>27</v>
      </c>
      <c r="F420" t="s">
        <v>938</v>
      </c>
      <c r="G420" t="s">
        <v>11</v>
      </c>
      <c r="H420" t="s">
        <v>19</v>
      </c>
    </row>
    <row r="421" spans="1:8" x14ac:dyDescent="0.3">
      <c r="A421" s="3">
        <v>396949</v>
      </c>
      <c r="B421" t="s">
        <v>939</v>
      </c>
      <c r="C421" t="s">
        <v>940</v>
      </c>
      <c r="D421" t="s">
        <v>11</v>
      </c>
      <c r="E421" t="s">
        <v>229</v>
      </c>
      <c r="F421" t="s">
        <v>941</v>
      </c>
      <c r="G421" t="s">
        <v>11</v>
      </c>
      <c r="H421" t="s">
        <v>37</v>
      </c>
    </row>
    <row r="422" spans="1:8" x14ac:dyDescent="0.3">
      <c r="A422" s="3">
        <v>465495</v>
      </c>
      <c r="B422" t="s">
        <v>939</v>
      </c>
      <c r="C422" t="s">
        <v>942</v>
      </c>
      <c r="D422" t="s">
        <v>11</v>
      </c>
      <c r="E422" t="s">
        <v>99</v>
      </c>
      <c r="F422" t="s">
        <v>943</v>
      </c>
      <c r="G422" t="s">
        <v>11</v>
      </c>
      <c r="H422" t="s">
        <v>16</v>
      </c>
    </row>
    <row r="423" spans="1:8" x14ac:dyDescent="0.3">
      <c r="A423" s="3">
        <v>441701</v>
      </c>
      <c r="B423" t="s">
        <v>939</v>
      </c>
      <c r="C423" t="s">
        <v>944</v>
      </c>
      <c r="D423" t="s">
        <v>11</v>
      </c>
      <c r="E423" t="s">
        <v>85</v>
      </c>
      <c r="F423" t="s">
        <v>945</v>
      </c>
      <c r="G423" t="s">
        <v>11</v>
      </c>
      <c r="H423" t="s">
        <v>74</v>
      </c>
    </row>
    <row r="424" spans="1:8" x14ac:dyDescent="0.3">
      <c r="A424" s="3">
        <v>64940</v>
      </c>
      <c r="B424" t="s">
        <v>939</v>
      </c>
      <c r="C424" t="s">
        <v>946</v>
      </c>
      <c r="D424" t="s">
        <v>11</v>
      </c>
      <c r="E424" t="s">
        <v>947</v>
      </c>
      <c r="F424" t="s">
        <v>948</v>
      </c>
      <c r="G424" t="s">
        <v>11</v>
      </c>
      <c r="H424" t="s">
        <v>46</v>
      </c>
    </row>
    <row r="425" spans="1:8" x14ac:dyDescent="0.3">
      <c r="A425" s="3">
        <v>441560</v>
      </c>
      <c r="B425" t="s">
        <v>939</v>
      </c>
      <c r="C425" t="s">
        <v>949</v>
      </c>
      <c r="D425" t="s">
        <v>11</v>
      </c>
      <c r="E425" t="s">
        <v>16</v>
      </c>
      <c r="F425" t="s">
        <v>950</v>
      </c>
      <c r="G425" t="s">
        <v>11</v>
      </c>
      <c r="H425" t="s">
        <v>19</v>
      </c>
    </row>
    <row r="426" spans="1:8" x14ac:dyDescent="0.3">
      <c r="A426" s="3">
        <v>441490</v>
      </c>
      <c r="B426" t="s">
        <v>939</v>
      </c>
      <c r="C426" t="s">
        <v>951</v>
      </c>
      <c r="D426" t="s">
        <v>11</v>
      </c>
      <c r="E426" t="s">
        <v>31</v>
      </c>
      <c r="F426" t="s">
        <v>952</v>
      </c>
      <c r="G426" t="s">
        <v>11</v>
      </c>
      <c r="H426" t="s">
        <v>27</v>
      </c>
    </row>
    <row r="427" spans="1:8" x14ac:dyDescent="0.3">
      <c r="A427" s="3">
        <v>463689</v>
      </c>
      <c r="B427" t="s">
        <v>939</v>
      </c>
      <c r="C427" t="s">
        <v>953</v>
      </c>
      <c r="D427" t="s">
        <v>11</v>
      </c>
      <c r="E427" t="s">
        <v>139</v>
      </c>
      <c r="F427" t="s">
        <v>375</v>
      </c>
      <c r="G427" t="s">
        <v>11</v>
      </c>
      <c r="H427" t="s">
        <v>37</v>
      </c>
    </row>
    <row r="428" spans="1:8" x14ac:dyDescent="0.3">
      <c r="A428" s="3">
        <v>72723</v>
      </c>
      <c r="B428" t="s">
        <v>939</v>
      </c>
      <c r="C428" t="s">
        <v>954</v>
      </c>
      <c r="D428" t="s">
        <v>11</v>
      </c>
      <c r="E428" t="s">
        <v>19</v>
      </c>
      <c r="F428" t="s">
        <v>847</v>
      </c>
      <c r="G428" t="s">
        <v>11</v>
      </c>
      <c r="H428" t="s">
        <v>19</v>
      </c>
    </row>
    <row r="429" spans="1:8" x14ac:dyDescent="0.3">
      <c r="A429" s="3">
        <v>57949</v>
      </c>
      <c r="B429" t="s">
        <v>939</v>
      </c>
      <c r="C429" t="s">
        <v>955</v>
      </c>
      <c r="D429" t="s">
        <v>11</v>
      </c>
      <c r="E429" t="s">
        <v>19</v>
      </c>
      <c r="F429" t="s">
        <v>166</v>
      </c>
      <c r="G429" t="s">
        <v>11</v>
      </c>
      <c r="H429" t="s">
        <v>11</v>
      </c>
    </row>
    <row r="430" spans="1:8" x14ac:dyDescent="0.3">
      <c r="A430" s="3">
        <v>76354</v>
      </c>
      <c r="B430" t="s">
        <v>939</v>
      </c>
      <c r="C430" t="s">
        <v>956</v>
      </c>
      <c r="D430" t="s">
        <v>11</v>
      </c>
      <c r="E430" t="s">
        <v>16</v>
      </c>
      <c r="F430" t="s">
        <v>957</v>
      </c>
      <c r="G430" t="s">
        <v>11</v>
      </c>
      <c r="H430" t="s">
        <v>19</v>
      </c>
    </row>
    <row r="431" spans="1:8" x14ac:dyDescent="0.3">
      <c r="A431" s="3">
        <v>147785</v>
      </c>
      <c r="B431" t="s">
        <v>958</v>
      </c>
      <c r="C431" t="s">
        <v>959</v>
      </c>
      <c r="D431" t="s">
        <v>19</v>
      </c>
      <c r="E431" t="s">
        <v>343</v>
      </c>
      <c r="F431" t="s">
        <v>960</v>
      </c>
      <c r="G431" t="s">
        <v>19</v>
      </c>
      <c r="H431" t="s">
        <v>299</v>
      </c>
    </row>
    <row r="432" spans="1:8" x14ac:dyDescent="0.3">
      <c r="A432" s="3">
        <v>147766</v>
      </c>
      <c r="B432" t="s">
        <v>958</v>
      </c>
      <c r="C432" t="s">
        <v>961</v>
      </c>
      <c r="D432" t="s">
        <v>11</v>
      </c>
      <c r="E432" t="s">
        <v>178</v>
      </c>
      <c r="F432" t="s">
        <v>962</v>
      </c>
      <c r="G432" t="s">
        <v>11</v>
      </c>
      <c r="H432" t="s">
        <v>27</v>
      </c>
    </row>
    <row r="433" spans="1:8" x14ac:dyDescent="0.3">
      <c r="A433" s="3">
        <v>62936</v>
      </c>
      <c r="B433" t="s">
        <v>958</v>
      </c>
      <c r="C433" t="s">
        <v>963</v>
      </c>
      <c r="D433" t="s">
        <v>11</v>
      </c>
      <c r="E433" t="s">
        <v>142</v>
      </c>
      <c r="F433" t="s">
        <v>964</v>
      </c>
      <c r="G433" t="s">
        <v>11</v>
      </c>
      <c r="H433" t="s">
        <v>35</v>
      </c>
    </row>
    <row r="434" spans="1:8" x14ac:dyDescent="0.3">
      <c r="A434" s="3">
        <v>170101</v>
      </c>
      <c r="B434" t="s">
        <v>958</v>
      </c>
      <c r="C434" t="s">
        <v>965</v>
      </c>
      <c r="D434" t="s">
        <v>11</v>
      </c>
      <c r="E434" t="s">
        <v>872</v>
      </c>
      <c r="F434" t="s">
        <v>966</v>
      </c>
      <c r="G434" t="s">
        <v>11</v>
      </c>
      <c r="H434" t="s">
        <v>64</v>
      </c>
    </row>
    <row r="435" spans="1:8" x14ac:dyDescent="0.3">
      <c r="A435" s="3">
        <v>603595</v>
      </c>
      <c r="B435" t="s">
        <v>958</v>
      </c>
      <c r="C435" t="s">
        <v>967</v>
      </c>
      <c r="D435" t="s">
        <v>11</v>
      </c>
      <c r="E435" t="s">
        <v>968</v>
      </c>
      <c r="F435" t="s">
        <v>969</v>
      </c>
      <c r="G435" t="s">
        <v>11</v>
      </c>
      <c r="H435" t="s">
        <v>14</v>
      </c>
    </row>
    <row r="436" spans="1:8" x14ac:dyDescent="0.3">
      <c r="A436" s="3">
        <v>863625</v>
      </c>
      <c r="B436" t="s">
        <v>958</v>
      </c>
      <c r="C436" t="s">
        <v>970</v>
      </c>
      <c r="D436" t="s">
        <v>11</v>
      </c>
      <c r="E436" t="s">
        <v>89</v>
      </c>
      <c r="F436" t="s">
        <v>971</v>
      </c>
      <c r="G436" t="s">
        <v>11</v>
      </c>
      <c r="H436" t="s">
        <v>14</v>
      </c>
    </row>
    <row r="437" spans="1:8" x14ac:dyDescent="0.3">
      <c r="A437" s="3">
        <v>72803</v>
      </c>
      <c r="B437" t="s">
        <v>958</v>
      </c>
      <c r="C437" t="s">
        <v>972</v>
      </c>
      <c r="D437" t="s">
        <v>19</v>
      </c>
      <c r="E437" t="s">
        <v>46</v>
      </c>
      <c r="F437" t="s">
        <v>973</v>
      </c>
      <c r="G437" t="s">
        <v>19</v>
      </c>
      <c r="H437" t="s">
        <v>14</v>
      </c>
    </row>
    <row r="438" spans="1:8" x14ac:dyDescent="0.3">
      <c r="A438" s="3">
        <v>465184</v>
      </c>
      <c r="B438" t="s">
        <v>958</v>
      </c>
      <c r="C438" t="s">
        <v>974</v>
      </c>
      <c r="D438" t="s">
        <v>11</v>
      </c>
      <c r="E438" t="s">
        <v>250</v>
      </c>
      <c r="F438" t="s">
        <v>975</v>
      </c>
      <c r="G438" t="s">
        <v>11</v>
      </c>
      <c r="H438" t="s">
        <v>27</v>
      </c>
    </row>
    <row r="439" spans="1:8" x14ac:dyDescent="0.3">
      <c r="A439" s="3">
        <v>66859</v>
      </c>
      <c r="B439" t="s">
        <v>958</v>
      </c>
      <c r="C439" t="s">
        <v>976</v>
      </c>
      <c r="D439" t="s">
        <v>11</v>
      </c>
      <c r="E439" t="s">
        <v>19</v>
      </c>
      <c r="F439" t="s">
        <v>16</v>
      </c>
      <c r="G439" t="s">
        <v>11</v>
      </c>
      <c r="H439" t="s">
        <v>11</v>
      </c>
    </row>
    <row r="440" spans="1:8" x14ac:dyDescent="0.3">
      <c r="A440" s="3">
        <v>790115</v>
      </c>
      <c r="B440" t="s">
        <v>958</v>
      </c>
      <c r="C440" t="s">
        <v>977</v>
      </c>
      <c r="D440" t="s">
        <v>11</v>
      </c>
      <c r="E440" t="s">
        <v>530</v>
      </c>
      <c r="F440" t="s">
        <v>978</v>
      </c>
      <c r="G440" t="s">
        <v>11</v>
      </c>
      <c r="H440" t="s">
        <v>35</v>
      </c>
    </row>
    <row r="441" spans="1:8" x14ac:dyDescent="0.3">
      <c r="A441" s="3">
        <v>160593</v>
      </c>
      <c r="B441" t="s">
        <v>979</v>
      </c>
      <c r="C441" t="s">
        <v>980</v>
      </c>
      <c r="D441" t="s">
        <v>11</v>
      </c>
      <c r="E441" t="s">
        <v>256</v>
      </c>
      <c r="F441" t="s">
        <v>981</v>
      </c>
      <c r="G441" t="s">
        <v>11</v>
      </c>
      <c r="H441" t="s">
        <v>74</v>
      </c>
    </row>
    <row r="442" spans="1:8" x14ac:dyDescent="0.3">
      <c r="A442" s="3">
        <v>463019</v>
      </c>
      <c r="B442" t="s">
        <v>979</v>
      </c>
      <c r="C442" t="s">
        <v>982</v>
      </c>
      <c r="D442" t="s">
        <v>11</v>
      </c>
      <c r="E442" t="s">
        <v>105</v>
      </c>
      <c r="F442" t="s">
        <v>983</v>
      </c>
      <c r="G442" t="s">
        <v>11</v>
      </c>
      <c r="H442" t="s">
        <v>27</v>
      </c>
    </row>
    <row r="443" spans="1:8" x14ac:dyDescent="0.3">
      <c r="A443" s="3">
        <v>487628</v>
      </c>
      <c r="B443" t="s">
        <v>979</v>
      </c>
      <c r="C443" t="s">
        <v>984</v>
      </c>
      <c r="D443" t="s">
        <v>11</v>
      </c>
      <c r="E443" t="s">
        <v>20</v>
      </c>
      <c r="F443" t="s">
        <v>985</v>
      </c>
      <c r="G443" t="s">
        <v>11</v>
      </c>
      <c r="H443" t="s">
        <v>99</v>
      </c>
    </row>
    <row r="444" spans="1:8" x14ac:dyDescent="0.3">
      <c r="A444" s="3">
        <v>90473</v>
      </c>
      <c r="B444" t="s">
        <v>979</v>
      </c>
      <c r="C444" t="s">
        <v>246</v>
      </c>
      <c r="D444" t="s">
        <v>11</v>
      </c>
      <c r="E444" t="s">
        <v>49</v>
      </c>
      <c r="F444" t="s">
        <v>986</v>
      </c>
      <c r="G444" t="s">
        <v>11</v>
      </c>
      <c r="H444" t="s">
        <v>27</v>
      </c>
    </row>
    <row r="445" spans="1:8" x14ac:dyDescent="0.3">
      <c r="A445" s="3">
        <v>550035</v>
      </c>
      <c r="B445" t="s">
        <v>979</v>
      </c>
      <c r="C445" t="s">
        <v>987</v>
      </c>
      <c r="D445" t="s">
        <v>11</v>
      </c>
      <c r="E445" t="s">
        <v>46</v>
      </c>
      <c r="F445" t="s">
        <v>831</v>
      </c>
      <c r="G445" t="s">
        <v>11</v>
      </c>
      <c r="H445" t="s">
        <v>19</v>
      </c>
    </row>
    <row r="446" spans="1:8" x14ac:dyDescent="0.3">
      <c r="A446" s="3">
        <v>79456</v>
      </c>
      <c r="B446" t="s">
        <v>979</v>
      </c>
      <c r="C446" t="s">
        <v>988</v>
      </c>
      <c r="D446" t="s">
        <v>11</v>
      </c>
      <c r="E446" t="s">
        <v>326</v>
      </c>
      <c r="F446" t="s">
        <v>989</v>
      </c>
      <c r="G446" t="s">
        <v>11</v>
      </c>
      <c r="H446" t="s">
        <v>40</v>
      </c>
    </row>
    <row r="447" spans="1:8" x14ac:dyDescent="0.3">
      <c r="A447" s="3">
        <v>49049</v>
      </c>
      <c r="B447" t="s">
        <v>979</v>
      </c>
      <c r="C447" t="s">
        <v>990</v>
      </c>
      <c r="D447" t="s">
        <v>11</v>
      </c>
      <c r="E447" t="s">
        <v>14</v>
      </c>
      <c r="F447" t="s">
        <v>991</v>
      </c>
      <c r="G447" t="s">
        <v>11</v>
      </c>
      <c r="H447" t="s">
        <v>19</v>
      </c>
    </row>
    <row r="448" spans="1:8" x14ac:dyDescent="0.3">
      <c r="A448" s="3">
        <v>452110</v>
      </c>
      <c r="B448" t="s">
        <v>979</v>
      </c>
      <c r="C448" t="s">
        <v>992</v>
      </c>
      <c r="D448" t="s">
        <v>11</v>
      </c>
      <c r="E448" t="s">
        <v>46</v>
      </c>
      <c r="F448" t="s">
        <v>993</v>
      </c>
      <c r="G448" t="s">
        <v>11</v>
      </c>
      <c r="H448" t="s">
        <v>19</v>
      </c>
    </row>
    <row r="449" spans="1:8" x14ac:dyDescent="0.3">
      <c r="A449" s="3">
        <v>455458</v>
      </c>
      <c r="B449" t="s">
        <v>979</v>
      </c>
      <c r="C449" t="s">
        <v>994</v>
      </c>
      <c r="D449" t="s">
        <v>11</v>
      </c>
      <c r="E449" t="s">
        <v>379</v>
      </c>
      <c r="F449" t="s">
        <v>995</v>
      </c>
      <c r="G449" t="s">
        <v>11</v>
      </c>
      <c r="H449" t="s">
        <v>35</v>
      </c>
    </row>
    <row r="450" spans="1:8" x14ac:dyDescent="0.3">
      <c r="A450" s="3">
        <v>397492</v>
      </c>
      <c r="B450" t="s">
        <v>979</v>
      </c>
      <c r="C450" t="s">
        <v>996</v>
      </c>
      <c r="D450" t="s">
        <v>19</v>
      </c>
      <c r="E450" t="s">
        <v>103</v>
      </c>
      <c r="F450" t="s">
        <v>997</v>
      </c>
      <c r="G450" t="s">
        <v>19</v>
      </c>
      <c r="H450" t="s">
        <v>74</v>
      </c>
    </row>
    <row r="451" spans="1:8" x14ac:dyDescent="0.3">
      <c r="A451" s="3">
        <v>155394</v>
      </c>
      <c r="B451" t="s">
        <v>998</v>
      </c>
      <c r="C451" t="s">
        <v>999</v>
      </c>
      <c r="D451" t="s">
        <v>11</v>
      </c>
      <c r="E451" t="s">
        <v>67</v>
      </c>
      <c r="F451" t="s">
        <v>1000</v>
      </c>
      <c r="G451" t="s">
        <v>11</v>
      </c>
      <c r="H451" t="s">
        <v>74</v>
      </c>
    </row>
    <row r="452" spans="1:8" x14ac:dyDescent="0.3">
      <c r="A452" s="3">
        <v>459753</v>
      </c>
      <c r="B452" t="s">
        <v>998</v>
      </c>
      <c r="C452" t="s">
        <v>1001</v>
      </c>
      <c r="D452" t="s">
        <v>11</v>
      </c>
      <c r="E452" t="s">
        <v>495</v>
      </c>
      <c r="F452" t="s">
        <v>835</v>
      </c>
      <c r="G452" t="s">
        <v>11</v>
      </c>
      <c r="H452" t="s">
        <v>99</v>
      </c>
    </row>
    <row r="453" spans="1:8" x14ac:dyDescent="0.3">
      <c r="A453" s="3">
        <v>486445</v>
      </c>
      <c r="B453" t="s">
        <v>998</v>
      </c>
      <c r="C453" t="s">
        <v>1002</v>
      </c>
      <c r="D453" t="s">
        <v>11</v>
      </c>
      <c r="E453" t="s">
        <v>31</v>
      </c>
      <c r="F453" t="s">
        <v>1003</v>
      </c>
      <c r="G453" t="s">
        <v>11</v>
      </c>
      <c r="H453" t="s">
        <v>19</v>
      </c>
    </row>
    <row r="454" spans="1:8" x14ac:dyDescent="0.3">
      <c r="A454" s="3">
        <v>70390</v>
      </c>
      <c r="B454" t="s">
        <v>998</v>
      </c>
      <c r="C454" t="s">
        <v>1004</v>
      </c>
      <c r="D454" t="s">
        <v>11</v>
      </c>
      <c r="E454" t="s">
        <v>334</v>
      </c>
      <c r="F454" t="s">
        <v>1005</v>
      </c>
      <c r="G454" t="s">
        <v>11</v>
      </c>
      <c r="H454" t="s">
        <v>89</v>
      </c>
    </row>
    <row r="455" spans="1:8" x14ac:dyDescent="0.3">
      <c r="A455" s="3">
        <v>155817</v>
      </c>
      <c r="B455" t="s">
        <v>998</v>
      </c>
      <c r="C455" t="s">
        <v>1006</v>
      </c>
      <c r="D455" t="s">
        <v>11</v>
      </c>
      <c r="E455" t="s">
        <v>587</v>
      </c>
      <c r="F455" t="s">
        <v>1007</v>
      </c>
      <c r="G455" t="s">
        <v>11</v>
      </c>
      <c r="H455" t="s">
        <v>19</v>
      </c>
    </row>
    <row r="456" spans="1:8" x14ac:dyDescent="0.3">
      <c r="A456" s="3">
        <v>462289</v>
      </c>
      <c r="B456" t="s">
        <v>998</v>
      </c>
      <c r="C456" t="s">
        <v>1008</v>
      </c>
      <c r="D456" t="s">
        <v>19</v>
      </c>
      <c r="E456" t="s">
        <v>142</v>
      </c>
      <c r="F456" t="s">
        <v>1009</v>
      </c>
      <c r="G456" t="s">
        <v>19</v>
      </c>
      <c r="H456" t="s">
        <v>27</v>
      </c>
    </row>
    <row r="457" spans="1:8" x14ac:dyDescent="0.3">
      <c r="A457" s="3">
        <v>146267</v>
      </c>
      <c r="B457" t="s">
        <v>998</v>
      </c>
      <c r="C457" t="s">
        <v>1010</v>
      </c>
      <c r="D457" t="s">
        <v>11</v>
      </c>
      <c r="E457" t="s">
        <v>383</v>
      </c>
      <c r="F457" t="s">
        <v>1011</v>
      </c>
      <c r="G457" t="s">
        <v>11</v>
      </c>
      <c r="H457" t="s">
        <v>35</v>
      </c>
    </row>
    <row r="458" spans="1:8" x14ac:dyDescent="0.3">
      <c r="A458" s="3">
        <v>44532</v>
      </c>
      <c r="B458" t="s">
        <v>998</v>
      </c>
      <c r="C458" t="s">
        <v>1012</v>
      </c>
      <c r="D458" t="s">
        <v>11</v>
      </c>
      <c r="E458" t="s">
        <v>27</v>
      </c>
      <c r="F458" t="s">
        <v>1013</v>
      </c>
      <c r="G458" t="s">
        <v>11</v>
      </c>
      <c r="H458" t="s">
        <v>19</v>
      </c>
    </row>
    <row r="459" spans="1:8" x14ac:dyDescent="0.3">
      <c r="A459" s="3">
        <v>558569</v>
      </c>
      <c r="B459" t="s">
        <v>998</v>
      </c>
      <c r="C459" t="s">
        <v>1014</v>
      </c>
      <c r="D459" t="s">
        <v>11</v>
      </c>
      <c r="E459" t="s">
        <v>947</v>
      </c>
      <c r="F459" t="s">
        <v>1015</v>
      </c>
      <c r="G459" t="s">
        <v>19</v>
      </c>
      <c r="H459" t="s">
        <v>130</v>
      </c>
    </row>
    <row r="460" spans="1:8" x14ac:dyDescent="0.3">
      <c r="A460" s="3">
        <v>51787</v>
      </c>
      <c r="B460" t="s">
        <v>1016</v>
      </c>
      <c r="C460" t="s">
        <v>1017</v>
      </c>
      <c r="D460" t="s">
        <v>11</v>
      </c>
      <c r="E460" t="s">
        <v>329</v>
      </c>
      <c r="F460" t="s">
        <v>547</v>
      </c>
      <c r="G460" t="s">
        <v>11</v>
      </c>
      <c r="H460" t="s">
        <v>16</v>
      </c>
    </row>
    <row r="461" spans="1:8" x14ac:dyDescent="0.3">
      <c r="A461" s="3">
        <v>155638</v>
      </c>
      <c r="B461" t="s">
        <v>1016</v>
      </c>
      <c r="C461" t="s">
        <v>1018</v>
      </c>
      <c r="D461" t="s">
        <v>11</v>
      </c>
      <c r="E461" t="s">
        <v>22</v>
      </c>
      <c r="F461" t="s">
        <v>1019</v>
      </c>
      <c r="G461" t="s">
        <v>11</v>
      </c>
      <c r="H461" t="s">
        <v>27</v>
      </c>
    </row>
    <row r="462" spans="1:8" x14ac:dyDescent="0.3">
      <c r="A462" s="3">
        <v>52188</v>
      </c>
      <c r="B462" t="s">
        <v>1016</v>
      </c>
      <c r="C462" t="s">
        <v>1020</v>
      </c>
      <c r="D462" t="s">
        <v>11</v>
      </c>
      <c r="E462" t="s">
        <v>74</v>
      </c>
      <c r="F462" t="s">
        <v>966</v>
      </c>
      <c r="G462" t="s">
        <v>19</v>
      </c>
      <c r="H462" t="s">
        <v>14</v>
      </c>
    </row>
    <row r="463" spans="1:8" x14ac:dyDescent="0.3">
      <c r="A463" s="3">
        <v>486695</v>
      </c>
      <c r="B463" t="s">
        <v>1016</v>
      </c>
      <c r="C463" t="s">
        <v>1021</v>
      </c>
      <c r="D463" t="s">
        <v>11</v>
      </c>
      <c r="E463" t="s">
        <v>19</v>
      </c>
      <c r="F463" t="s">
        <v>1022</v>
      </c>
      <c r="G463" t="s">
        <v>11</v>
      </c>
      <c r="H463" t="s">
        <v>11</v>
      </c>
    </row>
    <row r="464" spans="1:8" x14ac:dyDescent="0.3">
      <c r="A464" s="3">
        <v>76434</v>
      </c>
      <c r="B464" t="s">
        <v>1016</v>
      </c>
      <c r="C464" t="s">
        <v>1023</v>
      </c>
      <c r="D464" t="s">
        <v>11</v>
      </c>
      <c r="E464" t="s">
        <v>12</v>
      </c>
      <c r="F464" t="s">
        <v>1024</v>
      </c>
      <c r="G464" t="s">
        <v>11</v>
      </c>
      <c r="H464" t="s">
        <v>14</v>
      </c>
    </row>
    <row r="465" spans="1:8" x14ac:dyDescent="0.3">
      <c r="A465" s="3">
        <v>146427</v>
      </c>
      <c r="B465" t="s">
        <v>1016</v>
      </c>
      <c r="C465" t="s">
        <v>1025</v>
      </c>
      <c r="D465" t="s">
        <v>11</v>
      </c>
      <c r="E465" t="s">
        <v>229</v>
      </c>
      <c r="F465" t="s">
        <v>962</v>
      </c>
      <c r="G465" t="s">
        <v>19</v>
      </c>
      <c r="H465" t="s">
        <v>27</v>
      </c>
    </row>
    <row r="466" spans="1:8" x14ac:dyDescent="0.3">
      <c r="A466" s="3">
        <v>86008</v>
      </c>
      <c r="B466" t="s">
        <v>1016</v>
      </c>
      <c r="C466" t="s">
        <v>1026</v>
      </c>
      <c r="D466" t="s">
        <v>11</v>
      </c>
      <c r="E466" t="s">
        <v>281</v>
      </c>
      <c r="F466" t="s">
        <v>1027</v>
      </c>
      <c r="G466" t="s">
        <v>11</v>
      </c>
      <c r="H466" t="s">
        <v>46</v>
      </c>
    </row>
    <row r="467" spans="1:8" x14ac:dyDescent="0.3">
      <c r="A467" s="3">
        <v>67566</v>
      </c>
      <c r="B467" t="s">
        <v>1016</v>
      </c>
      <c r="C467" t="s">
        <v>1028</v>
      </c>
      <c r="D467" t="s">
        <v>19</v>
      </c>
      <c r="E467" t="s">
        <v>229</v>
      </c>
      <c r="F467" t="s">
        <v>1029</v>
      </c>
      <c r="G467" t="s">
        <v>19</v>
      </c>
      <c r="H467" t="s">
        <v>37</v>
      </c>
    </row>
    <row r="468" spans="1:8" x14ac:dyDescent="0.3">
      <c r="A468" s="3">
        <v>155351</v>
      </c>
      <c r="B468" t="s">
        <v>1016</v>
      </c>
      <c r="C468" t="s">
        <v>604</v>
      </c>
      <c r="D468" t="s">
        <v>11</v>
      </c>
      <c r="E468" t="s">
        <v>598</v>
      </c>
      <c r="F468" t="s">
        <v>1030</v>
      </c>
      <c r="G468" t="s">
        <v>11</v>
      </c>
      <c r="H468" t="s">
        <v>16</v>
      </c>
    </row>
    <row r="469" spans="1:8" x14ac:dyDescent="0.3">
      <c r="A469" s="3">
        <v>550403</v>
      </c>
      <c r="B469" t="s">
        <v>1016</v>
      </c>
      <c r="C469" t="s">
        <v>1031</v>
      </c>
      <c r="D469" t="s">
        <v>19</v>
      </c>
      <c r="E469" t="s">
        <v>35</v>
      </c>
      <c r="F469" t="s">
        <v>1032</v>
      </c>
      <c r="G469" t="s">
        <v>19</v>
      </c>
      <c r="H469" t="s">
        <v>19</v>
      </c>
    </row>
    <row r="470" spans="1:8" x14ac:dyDescent="0.3">
      <c r="A470" s="3">
        <v>541197</v>
      </c>
      <c r="B470" t="s">
        <v>1033</v>
      </c>
      <c r="C470" t="s">
        <v>648</v>
      </c>
      <c r="D470" t="s">
        <v>11</v>
      </c>
      <c r="E470" t="s">
        <v>37</v>
      </c>
      <c r="F470" t="s">
        <v>1034</v>
      </c>
      <c r="G470" t="s">
        <v>11</v>
      </c>
      <c r="H470" t="s">
        <v>19</v>
      </c>
    </row>
    <row r="471" spans="1:8" x14ac:dyDescent="0.3">
      <c r="A471" s="3">
        <v>47045</v>
      </c>
      <c r="B471" t="s">
        <v>1033</v>
      </c>
      <c r="C471" t="s">
        <v>1035</v>
      </c>
      <c r="D471" t="s">
        <v>11</v>
      </c>
      <c r="E471" t="s">
        <v>926</v>
      </c>
      <c r="F471" t="s">
        <v>1036</v>
      </c>
      <c r="G471" t="s">
        <v>11</v>
      </c>
      <c r="H471" t="s">
        <v>37</v>
      </c>
    </row>
    <row r="472" spans="1:8" x14ac:dyDescent="0.3">
      <c r="A472" s="3">
        <v>147851</v>
      </c>
      <c r="B472" t="s">
        <v>1033</v>
      </c>
      <c r="C472" t="s">
        <v>1037</v>
      </c>
      <c r="D472" t="s">
        <v>11</v>
      </c>
      <c r="E472" t="s">
        <v>1038</v>
      </c>
      <c r="F472" t="s">
        <v>1039</v>
      </c>
      <c r="G472" t="s">
        <v>11</v>
      </c>
      <c r="H472" t="s">
        <v>40</v>
      </c>
    </row>
    <row r="473" spans="1:8" x14ac:dyDescent="0.3">
      <c r="A473" s="3">
        <v>58185</v>
      </c>
      <c r="B473" t="s">
        <v>1033</v>
      </c>
      <c r="C473" t="s">
        <v>1040</v>
      </c>
      <c r="D473" t="s">
        <v>11</v>
      </c>
      <c r="E473" t="s">
        <v>78</v>
      </c>
      <c r="F473" t="s">
        <v>177</v>
      </c>
      <c r="G473" t="s">
        <v>11</v>
      </c>
      <c r="H473" t="s">
        <v>16</v>
      </c>
    </row>
    <row r="474" spans="1:8" x14ac:dyDescent="0.3">
      <c r="A474" s="3">
        <v>148600</v>
      </c>
      <c r="B474" t="s">
        <v>1033</v>
      </c>
      <c r="C474" t="s">
        <v>1041</v>
      </c>
      <c r="D474" t="s">
        <v>11</v>
      </c>
      <c r="E474" t="s">
        <v>27</v>
      </c>
      <c r="F474" t="s">
        <v>1042</v>
      </c>
      <c r="G474" t="s">
        <v>11</v>
      </c>
      <c r="H474" t="s">
        <v>19</v>
      </c>
    </row>
    <row r="475" spans="1:8" x14ac:dyDescent="0.3">
      <c r="A475" s="3">
        <v>159085</v>
      </c>
      <c r="B475" t="s">
        <v>1033</v>
      </c>
      <c r="C475" t="s">
        <v>1043</v>
      </c>
      <c r="D475" t="s">
        <v>11</v>
      </c>
      <c r="E475" t="s">
        <v>210</v>
      </c>
      <c r="F475" t="s">
        <v>1044</v>
      </c>
      <c r="G475" t="s">
        <v>11</v>
      </c>
      <c r="H475" t="s">
        <v>35</v>
      </c>
    </row>
    <row r="476" spans="1:8" x14ac:dyDescent="0.3">
      <c r="A476" s="3">
        <v>62559</v>
      </c>
      <c r="B476" t="s">
        <v>1033</v>
      </c>
      <c r="C476" t="s">
        <v>219</v>
      </c>
      <c r="D476" t="s">
        <v>19</v>
      </c>
      <c r="E476" t="s">
        <v>27</v>
      </c>
      <c r="F476" t="s">
        <v>798</v>
      </c>
      <c r="G476" t="s">
        <v>19</v>
      </c>
      <c r="H476" t="s">
        <v>19</v>
      </c>
    </row>
    <row r="477" spans="1:8" x14ac:dyDescent="0.3">
      <c r="A477" s="3">
        <v>443658</v>
      </c>
      <c r="B477" t="s">
        <v>1033</v>
      </c>
      <c r="C477" t="s">
        <v>1045</v>
      </c>
      <c r="D477" t="s">
        <v>11</v>
      </c>
      <c r="E477" t="s">
        <v>40</v>
      </c>
      <c r="F477" t="s">
        <v>749</v>
      </c>
      <c r="G477" t="s">
        <v>11</v>
      </c>
      <c r="H477" t="s">
        <v>14</v>
      </c>
    </row>
    <row r="478" spans="1:8" x14ac:dyDescent="0.3">
      <c r="A478" s="3">
        <v>151782</v>
      </c>
      <c r="B478" t="s">
        <v>1033</v>
      </c>
      <c r="C478" t="s">
        <v>1046</v>
      </c>
      <c r="D478" t="s">
        <v>11</v>
      </c>
      <c r="E478" t="s">
        <v>74</v>
      </c>
      <c r="F478" t="s">
        <v>1047</v>
      </c>
      <c r="G478" t="s">
        <v>11</v>
      </c>
      <c r="H478" t="s">
        <v>19</v>
      </c>
    </row>
    <row r="479" spans="1:8" x14ac:dyDescent="0.3">
      <c r="A479" s="3">
        <v>79381</v>
      </c>
      <c r="B479" t="s">
        <v>1033</v>
      </c>
      <c r="C479" t="s">
        <v>1048</v>
      </c>
      <c r="D479" t="s">
        <v>11</v>
      </c>
      <c r="E479" t="s">
        <v>85</v>
      </c>
      <c r="F479" t="s">
        <v>1049</v>
      </c>
      <c r="G479" t="s">
        <v>11</v>
      </c>
      <c r="H479" t="s">
        <v>35</v>
      </c>
    </row>
    <row r="480" spans="1:8" x14ac:dyDescent="0.3">
      <c r="A480" s="3">
        <v>58010</v>
      </c>
      <c r="B480" t="s">
        <v>1050</v>
      </c>
      <c r="C480" t="s">
        <v>1051</v>
      </c>
      <c r="D480" t="s">
        <v>11</v>
      </c>
      <c r="E480" t="s">
        <v>46</v>
      </c>
      <c r="F480" t="s">
        <v>1052</v>
      </c>
      <c r="G480" t="s">
        <v>11</v>
      </c>
      <c r="H480" t="s">
        <v>19</v>
      </c>
    </row>
    <row r="481" spans="1:8" x14ac:dyDescent="0.3">
      <c r="A481" s="3">
        <v>156893</v>
      </c>
      <c r="B481" t="s">
        <v>1050</v>
      </c>
      <c r="C481" t="s">
        <v>669</v>
      </c>
      <c r="D481" t="s">
        <v>11</v>
      </c>
      <c r="E481" t="s">
        <v>436</v>
      </c>
      <c r="F481" t="s">
        <v>1053</v>
      </c>
      <c r="G481" t="s">
        <v>11</v>
      </c>
      <c r="H481" t="s">
        <v>37</v>
      </c>
    </row>
    <row r="482" spans="1:8" x14ac:dyDescent="0.3">
      <c r="A482" s="3">
        <v>488374</v>
      </c>
      <c r="B482" t="s">
        <v>1050</v>
      </c>
      <c r="C482" t="s">
        <v>1054</v>
      </c>
      <c r="D482" t="s">
        <v>11</v>
      </c>
      <c r="E482" t="s">
        <v>293</v>
      </c>
      <c r="F482" t="s">
        <v>1055</v>
      </c>
      <c r="G482" t="s">
        <v>11</v>
      </c>
      <c r="H482" t="s">
        <v>261</v>
      </c>
    </row>
    <row r="483" spans="1:8" x14ac:dyDescent="0.3">
      <c r="A483" s="3">
        <v>72997</v>
      </c>
      <c r="B483" t="s">
        <v>1050</v>
      </c>
      <c r="C483" t="s">
        <v>8</v>
      </c>
      <c r="D483" t="s">
        <v>8</v>
      </c>
      <c r="E483" t="s">
        <v>8</v>
      </c>
      <c r="F483" t="s">
        <v>8</v>
      </c>
      <c r="G483" t="s">
        <v>8</v>
      </c>
      <c r="H483" t="s">
        <v>8</v>
      </c>
    </row>
    <row r="484" spans="1:8" x14ac:dyDescent="0.3">
      <c r="A484" s="3">
        <v>88234</v>
      </c>
      <c r="B484" t="s">
        <v>1050</v>
      </c>
      <c r="C484" t="s">
        <v>1056</v>
      </c>
      <c r="D484" t="s">
        <v>11</v>
      </c>
      <c r="E484" t="s">
        <v>825</v>
      </c>
      <c r="F484" t="s">
        <v>1057</v>
      </c>
      <c r="G484" t="s">
        <v>11</v>
      </c>
      <c r="H484" t="s">
        <v>105</v>
      </c>
    </row>
    <row r="485" spans="1:8" x14ac:dyDescent="0.3">
      <c r="A485" s="3">
        <v>72935</v>
      </c>
      <c r="B485" t="s">
        <v>1050</v>
      </c>
      <c r="C485" t="s">
        <v>804</v>
      </c>
      <c r="D485" t="s">
        <v>19</v>
      </c>
      <c r="E485" t="s">
        <v>19</v>
      </c>
      <c r="F485" t="s">
        <v>118</v>
      </c>
      <c r="G485" t="s">
        <v>19</v>
      </c>
      <c r="H485" t="s">
        <v>19</v>
      </c>
    </row>
    <row r="486" spans="1:8" x14ac:dyDescent="0.3">
      <c r="A486" s="3">
        <v>62451</v>
      </c>
      <c r="B486" t="s">
        <v>1050</v>
      </c>
      <c r="C486" t="s">
        <v>19</v>
      </c>
      <c r="D486" t="s">
        <v>11</v>
      </c>
      <c r="E486" t="s">
        <v>11</v>
      </c>
      <c r="F486" t="s">
        <v>14</v>
      </c>
      <c r="G486" t="s">
        <v>11</v>
      </c>
      <c r="H486" t="s">
        <v>11</v>
      </c>
    </row>
    <row r="487" spans="1:8" x14ac:dyDescent="0.3">
      <c r="A487" s="3">
        <v>148450</v>
      </c>
      <c r="B487" t="s">
        <v>1058</v>
      </c>
      <c r="C487" t="s">
        <v>1059</v>
      </c>
      <c r="D487" t="s">
        <v>11</v>
      </c>
      <c r="E487" t="s">
        <v>54</v>
      </c>
      <c r="F487" t="s">
        <v>1060</v>
      </c>
      <c r="G487" t="s">
        <v>11</v>
      </c>
      <c r="H487" t="s">
        <v>19</v>
      </c>
    </row>
    <row r="488" spans="1:8" x14ac:dyDescent="0.3">
      <c r="A488" s="3">
        <v>61852</v>
      </c>
      <c r="B488" t="s">
        <v>1058</v>
      </c>
      <c r="C488" t="s">
        <v>1061</v>
      </c>
      <c r="D488" t="s">
        <v>11</v>
      </c>
      <c r="E488" t="s">
        <v>253</v>
      </c>
      <c r="F488" t="s">
        <v>454</v>
      </c>
      <c r="G488" t="s">
        <v>11</v>
      </c>
      <c r="H488" t="s">
        <v>14</v>
      </c>
    </row>
    <row r="489" spans="1:8" x14ac:dyDescent="0.3">
      <c r="A489" s="3">
        <v>467786</v>
      </c>
      <c r="B489" t="s">
        <v>1058</v>
      </c>
      <c r="C489" t="s">
        <v>161</v>
      </c>
      <c r="D489" t="s">
        <v>11</v>
      </c>
      <c r="E489" t="s">
        <v>229</v>
      </c>
      <c r="F489" t="s">
        <v>1062</v>
      </c>
      <c r="G489" t="s">
        <v>11</v>
      </c>
      <c r="H489" t="s">
        <v>37</v>
      </c>
    </row>
    <row r="490" spans="1:8" x14ac:dyDescent="0.3">
      <c r="A490" s="3">
        <v>441678</v>
      </c>
      <c r="B490" t="s">
        <v>1058</v>
      </c>
      <c r="C490" t="s">
        <v>53</v>
      </c>
      <c r="D490" t="s">
        <v>11</v>
      </c>
      <c r="E490" t="s">
        <v>64</v>
      </c>
      <c r="F490" t="s">
        <v>304</v>
      </c>
      <c r="G490" t="s">
        <v>11</v>
      </c>
      <c r="H490" t="s">
        <v>19</v>
      </c>
    </row>
    <row r="491" spans="1:8" x14ac:dyDescent="0.3">
      <c r="A491" s="3">
        <v>454289</v>
      </c>
      <c r="B491" t="s">
        <v>1058</v>
      </c>
      <c r="C491" t="s">
        <v>1063</v>
      </c>
      <c r="D491" t="s">
        <v>11</v>
      </c>
      <c r="E491" t="s">
        <v>37</v>
      </c>
      <c r="F491" t="s">
        <v>837</v>
      </c>
      <c r="G491" t="s">
        <v>11</v>
      </c>
      <c r="H491" t="s">
        <v>19</v>
      </c>
    </row>
    <row r="492" spans="1:8" x14ac:dyDescent="0.3">
      <c r="A492" s="3">
        <v>42566</v>
      </c>
      <c r="B492" t="s">
        <v>1058</v>
      </c>
      <c r="C492" t="s">
        <v>1064</v>
      </c>
      <c r="D492" t="s">
        <v>11</v>
      </c>
      <c r="E492" t="s">
        <v>261</v>
      </c>
      <c r="F492" t="s">
        <v>1065</v>
      </c>
      <c r="G492" t="s">
        <v>11</v>
      </c>
      <c r="H492" t="s">
        <v>14</v>
      </c>
    </row>
    <row r="493" spans="1:8" x14ac:dyDescent="0.3">
      <c r="A493" s="3">
        <v>85990</v>
      </c>
      <c r="B493" t="s">
        <v>1058</v>
      </c>
      <c r="C493" t="s">
        <v>1066</v>
      </c>
      <c r="D493" t="s">
        <v>11</v>
      </c>
      <c r="E493" t="s">
        <v>74</v>
      </c>
      <c r="F493" t="s">
        <v>1067</v>
      </c>
      <c r="G493" t="s">
        <v>11</v>
      </c>
      <c r="H493" t="s">
        <v>19</v>
      </c>
    </row>
    <row r="494" spans="1:8" x14ac:dyDescent="0.3">
      <c r="A494" s="3">
        <v>61890</v>
      </c>
      <c r="B494" t="s">
        <v>1058</v>
      </c>
      <c r="C494" t="s">
        <v>1068</v>
      </c>
      <c r="D494" t="s">
        <v>11</v>
      </c>
      <c r="E494" t="s">
        <v>678</v>
      </c>
      <c r="F494" t="s">
        <v>1069</v>
      </c>
      <c r="G494" t="s">
        <v>11</v>
      </c>
      <c r="H494" t="s">
        <v>130</v>
      </c>
    </row>
    <row r="495" spans="1:8" x14ac:dyDescent="0.3">
      <c r="A495" s="3">
        <v>465264</v>
      </c>
      <c r="B495" t="s">
        <v>1058</v>
      </c>
      <c r="C495" t="s">
        <v>1070</v>
      </c>
      <c r="D495" t="s">
        <v>11</v>
      </c>
      <c r="E495" t="s">
        <v>14</v>
      </c>
      <c r="F495" t="s">
        <v>1071</v>
      </c>
      <c r="G495" t="s">
        <v>11</v>
      </c>
      <c r="H495" t="s">
        <v>19</v>
      </c>
    </row>
    <row r="496" spans="1:8" x14ac:dyDescent="0.3">
      <c r="A496" s="3">
        <v>440990</v>
      </c>
      <c r="B496" t="s">
        <v>1058</v>
      </c>
      <c r="C496" t="s">
        <v>882</v>
      </c>
      <c r="D496" t="s">
        <v>11</v>
      </c>
      <c r="E496" t="s">
        <v>19</v>
      </c>
      <c r="F496" t="s">
        <v>488</v>
      </c>
      <c r="G496" t="s">
        <v>11</v>
      </c>
      <c r="H496" t="s">
        <v>11</v>
      </c>
    </row>
    <row r="497" spans="1:8" x14ac:dyDescent="0.3">
      <c r="A497" s="3">
        <v>447821</v>
      </c>
      <c r="B497" t="s">
        <v>1072</v>
      </c>
      <c r="C497" t="s">
        <v>1073</v>
      </c>
      <c r="D497" t="s">
        <v>11</v>
      </c>
      <c r="E497" t="s">
        <v>173</v>
      </c>
      <c r="F497" t="s">
        <v>1074</v>
      </c>
      <c r="G497" t="s">
        <v>11</v>
      </c>
      <c r="H497" t="s">
        <v>19</v>
      </c>
    </row>
    <row r="498" spans="1:8" x14ac:dyDescent="0.3">
      <c r="A498" s="3">
        <v>396845</v>
      </c>
      <c r="B498" t="s">
        <v>1072</v>
      </c>
      <c r="C498" t="s">
        <v>1075</v>
      </c>
      <c r="D498" t="s">
        <v>11</v>
      </c>
      <c r="E498" t="s">
        <v>1076</v>
      </c>
      <c r="F498" t="s">
        <v>1077</v>
      </c>
      <c r="G498" t="s">
        <v>11</v>
      </c>
      <c r="H498" t="s">
        <v>37</v>
      </c>
    </row>
    <row r="499" spans="1:8" x14ac:dyDescent="0.3">
      <c r="A499" s="3">
        <v>78372</v>
      </c>
      <c r="B499" t="s">
        <v>1072</v>
      </c>
      <c r="C499" t="s">
        <v>1078</v>
      </c>
      <c r="D499" t="s">
        <v>11</v>
      </c>
      <c r="E499" t="s">
        <v>74</v>
      </c>
      <c r="F499" t="s">
        <v>1079</v>
      </c>
      <c r="G499" t="s">
        <v>11</v>
      </c>
      <c r="H499" t="s">
        <v>11</v>
      </c>
    </row>
    <row r="500" spans="1:8" x14ac:dyDescent="0.3">
      <c r="A500" s="3">
        <v>79362</v>
      </c>
      <c r="B500" t="s">
        <v>1072</v>
      </c>
      <c r="C500" t="s">
        <v>1080</v>
      </c>
      <c r="D500" t="s">
        <v>11</v>
      </c>
      <c r="E500" t="s">
        <v>239</v>
      </c>
      <c r="F500" t="s">
        <v>1081</v>
      </c>
      <c r="G500" t="s">
        <v>11</v>
      </c>
      <c r="H500" t="s">
        <v>64</v>
      </c>
    </row>
    <row r="501" spans="1:8" x14ac:dyDescent="0.3">
      <c r="A501" s="3">
        <v>447722</v>
      </c>
      <c r="B501" t="s">
        <v>1072</v>
      </c>
      <c r="C501" t="s">
        <v>1082</v>
      </c>
      <c r="D501" t="s">
        <v>11</v>
      </c>
      <c r="E501" t="s">
        <v>69</v>
      </c>
      <c r="F501" t="s">
        <v>1083</v>
      </c>
      <c r="G501" t="s">
        <v>19</v>
      </c>
      <c r="H501" t="s">
        <v>14</v>
      </c>
    </row>
    <row r="502" spans="1:8" x14ac:dyDescent="0.3">
      <c r="A502" s="3">
        <v>61932</v>
      </c>
      <c r="B502" t="s">
        <v>1072</v>
      </c>
      <c r="C502" t="s">
        <v>1084</v>
      </c>
      <c r="D502" t="s">
        <v>11</v>
      </c>
      <c r="E502" t="s">
        <v>27</v>
      </c>
      <c r="F502" t="s">
        <v>513</v>
      </c>
      <c r="G502" t="s">
        <v>11</v>
      </c>
      <c r="H502" t="s">
        <v>11</v>
      </c>
    </row>
    <row r="503" spans="1:8" x14ac:dyDescent="0.3">
      <c r="A503" s="3">
        <v>156096</v>
      </c>
      <c r="B503" t="s">
        <v>1072</v>
      </c>
      <c r="C503" t="s">
        <v>1085</v>
      </c>
      <c r="D503" t="s">
        <v>11</v>
      </c>
      <c r="E503" t="s">
        <v>329</v>
      </c>
      <c r="F503" t="s">
        <v>1086</v>
      </c>
      <c r="G503" t="s">
        <v>11</v>
      </c>
      <c r="H503" t="s">
        <v>64</v>
      </c>
    </row>
    <row r="504" spans="1:8" x14ac:dyDescent="0.3">
      <c r="A504" s="3">
        <v>61814</v>
      </c>
      <c r="B504" t="s">
        <v>1072</v>
      </c>
      <c r="C504" t="s">
        <v>473</v>
      </c>
      <c r="D504" t="s">
        <v>11</v>
      </c>
      <c r="E504" t="s">
        <v>152</v>
      </c>
      <c r="F504" t="s">
        <v>1087</v>
      </c>
      <c r="G504" t="s">
        <v>11</v>
      </c>
      <c r="H504" t="s">
        <v>35</v>
      </c>
    </row>
    <row r="505" spans="1:8" x14ac:dyDescent="0.3">
      <c r="A505" s="3">
        <v>49676</v>
      </c>
      <c r="B505" t="s">
        <v>1072</v>
      </c>
      <c r="C505" t="s">
        <v>1088</v>
      </c>
      <c r="D505" t="s">
        <v>11</v>
      </c>
      <c r="E505" t="s">
        <v>78</v>
      </c>
      <c r="F505" t="s">
        <v>1089</v>
      </c>
      <c r="G505" t="s">
        <v>11</v>
      </c>
      <c r="H505" t="s">
        <v>27</v>
      </c>
    </row>
    <row r="506" spans="1:8" x14ac:dyDescent="0.3">
      <c r="A506" s="3">
        <v>758610</v>
      </c>
      <c r="B506" t="s">
        <v>1072</v>
      </c>
      <c r="C506" t="s">
        <v>1090</v>
      </c>
      <c r="D506" t="s">
        <v>11</v>
      </c>
      <c r="E506" t="s">
        <v>1091</v>
      </c>
      <c r="F506" t="s">
        <v>1092</v>
      </c>
      <c r="G506" t="s">
        <v>11</v>
      </c>
      <c r="H506" t="s">
        <v>130</v>
      </c>
    </row>
    <row r="507" spans="1:8" x14ac:dyDescent="0.3">
      <c r="A507" s="3">
        <v>463731</v>
      </c>
      <c r="B507" t="s">
        <v>1093</v>
      </c>
      <c r="C507" t="s">
        <v>1094</v>
      </c>
      <c r="D507" t="s">
        <v>11</v>
      </c>
      <c r="E507" t="s">
        <v>118</v>
      </c>
      <c r="F507" t="s">
        <v>1095</v>
      </c>
      <c r="G507" t="s">
        <v>11</v>
      </c>
      <c r="H507" t="s">
        <v>35</v>
      </c>
    </row>
    <row r="508" spans="1:8" x14ac:dyDescent="0.3">
      <c r="A508" s="3">
        <v>59401</v>
      </c>
      <c r="B508" t="s">
        <v>1093</v>
      </c>
      <c r="C508" t="s">
        <v>1096</v>
      </c>
      <c r="D508" t="s">
        <v>11</v>
      </c>
      <c r="E508" t="s">
        <v>37</v>
      </c>
      <c r="F508" t="s">
        <v>372</v>
      </c>
      <c r="G508" t="s">
        <v>11</v>
      </c>
      <c r="H508" t="s">
        <v>19</v>
      </c>
    </row>
    <row r="509" spans="1:8" x14ac:dyDescent="0.3">
      <c r="A509" s="3">
        <v>72332</v>
      </c>
      <c r="B509" t="s">
        <v>1093</v>
      </c>
      <c r="C509" t="s">
        <v>592</v>
      </c>
      <c r="D509" t="s">
        <v>11</v>
      </c>
      <c r="E509" t="s">
        <v>105</v>
      </c>
      <c r="F509" t="s">
        <v>1097</v>
      </c>
      <c r="G509" t="s">
        <v>11</v>
      </c>
      <c r="H509" t="s">
        <v>14</v>
      </c>
    </row>
    <row r="510" spans="1:8" x14ac:dyDescent="0.3">
      <c r="A510" s="3">
        <v>583743</v>
      </c>
      <c r="B510" t="s">
        <v>1093</v>
      </c>
      <c r="C510" t="s">
        <v>1098</v>
      </c>
      <c r="D510" t="s">
        <v>11</v>
      </c>
      <c r="E510" t="s">
        <v>1099</v>
      </c>
      <c r="F510" t="s">
        <v>1100</v>
      </c>
      <c r="G510" t="s">
        <v>11</v>
      </c>
      <c r="H510" t="s">
        <v>78</v>
      </c>
    </row>
    <row r="511" spans="1:8" x14ac:dyDescent="0.3">
      <c r="A511" s="3">
        <v>44909</v>
      </c>
      <c r="B511" t="s">
        <v>1093</v>
      </c>
      <c r="C511" t="s">
        <v>1101</v>
      </c>
      <c r="D511" t="s">
        <v>19</v>
      </c>
      <c r="E511" t="s">
        <v>19</v>
      </c>
      <c r="F511" t="s">
        <v>643</v>
      </c>
      <c r="G511" t="s">
        <v>19</v>
      </c>
      <c r="H511" t="s">
        <v>19</v>
      </c>
    </row>
    <row r="512" spans="1:8" x14ac:dyDescent="0.3">
      <c r="A512" s="3">
        <v>786707</v>
      </c>
      <c r="B512" t="s">
        <v>1093</v>
      </c>
      <c r="C512" t="s">
        <v>1102</v>
      </c>
      <c r="D512" t="s">
        <v>19</v>
      </c>
      <c r="E512" t="s">
        <v>834</v>
      </c>
      <c r="F512" t="s">
        <v>1103</v>
      </c>
      <c r="G512" t="s">
        <v>19</v>
      </c>
      <c r="H512" t="s">
        <v>64</v>
      </c>
    </row>
    <row r="513" spans="1:8" x14ac:dyDescent="0.3">
      <c r="A513" s="3">
        <v>441541</v>
      </c>
      <c r="B513" t="s">
        <v>1093</v>
      </c>
      <c r="C513" t="s">
        <v>1104</v>
      </c>
      <c r="D513" t="s">
        <v>11</v>
      </c>
      <c r="E513" t="s">
        <v>16</v>
      </c>
      <c r="F513" t="s">
        <v>1105</v>
      </c>
      <c r="G513" t="s">
        <v>11</v>
      </c>
      <c r="H513" t="s">
        <v>14</v>
      </c>
    </row>
    <row r="514" spans="1:8" x14ac:dyDescent="0.3">
      <c r="A514" s="3">
        <v>545478</v>
      </c>
      <c r="B514" t="s">
        <v>1093</v>
      </c>
      <c r="C514" t="s">
        <v>1106</v>
      </c>
      <c r="D514" t="s">
        <v>11</v>
      </c>
      <c r="E514" t="s">
        <v>343</v>
      </c>
      <c r="F514" t="s">
        <v>1107</v>
      </c>
      <c r="G514" t="s">
        <v>11</v>
      </c>
      <c r="H514" t="s">
        <v>261</v>
      </c>
    </row>
    <row r="515" spans="1:8" x14ac:dyDescent="0.3">
      <c r="A515" s="3">
        <v>168297</v>
      </c>
      <c r="B515" t="s">
        <v>1093</v>
      </c>
      <c r="C515" t="s">
        <v>1108</v>
      </c>
      <c r="D515" t="s">
        <v>11</v>
      </c>
      <c r="E515" t="s">
        <v>46</v>
      </c>
      <c r="F515" t="s">
        <v>1109</v>
      </c>
      <c r="G515" t="s">
        <v>11</v>
      </c>
      <c r="H515" t="s">
        <v>14</v>
      </c>
    </row>
    <row r="516" spans="1:8" x14ac:dyDescent="0.3">
      <c r="A516" s="3">
        <v>88248</v>
      </c>
      <c r="B516" t="s">
        <v>1093</v>
      </c>
      <c r="C516" t="s">
        <v>1110</v>
      </c>
      <c r="D516" t="s">
        <v>11</v>
      </c>
      <c r="E516" t="s">
        <v>1111</v>
      </c>
      <c r="F516" t="s">
        <v>1112</v>
      </c>
      <c r="G516" t="s">
        <v>11</v>
      </c>
      <c r="H516" t="s">
        <v>383</v>
      </c>
    </row>
    <row r="517" spans="1:8" x14ac:dyDescent="0.3">
      <c r="A517" s="3">
        <v>47031</v>
      </c>
      <c r="B517" t="s">
        <v>1113</v>
      </c>
      <c r="C517" t="s">
        <v>1114</v>
      </c>
      <c r="D517" t="s">
        <v>11</v>
      </c>
      <c r="E517" t="s">
        <v>321</v>
      </c>
      <c r="F517" t="s">
        <v>1115</v>
      </c>
      <c r="G517" t="s">
        <v>11</v>
      </c>
      <c r="H517" t="s">
        <v>130</v>
      </c>
    </row>
    <row r="518" spans="1:8" x14ac:dyDescent="0.3">
      <c r="A518" s="3">
        <v>170295</v>
      </c>
      <c r="B518" t="s">
        <v>1113</v>
      </c>
      <c r="C518" t="s">
        <v>1116</v>
      </c>
      <c r="D518" t="s">
        <v>11</v>
      </c>
      <c r="E518" t="s">
        <v>46</v>
      </c>
      <c r="F518" t="s">
        <v>1117</v>
      </c>
      <c r="G518" t="s">
        <v>11</v>
      </c>
      <c r="H518" t="s">
        <v>37</v>
      </c>
    </row>
    <row r="519" spans="1:8" x14ac:dyDescent="0.3">
      <c r="A519" s="3">
        <v>55634</v>
      </c>
      <c r="B519" t="s">
        <v>1113</v>
      </c>
      <c r="C519" t="s">
        <v>1118</v>
      </c>
      <c r="D519" t="s">
        <v>11</v>
      </c>
      <c r="E519" t="s">
        <v>229</v>
      </c>
      <c r="F519" t="s">
        <v>1119</v>
      </c>
      <c r="G519" t="s">
        <v>11</v>
      </c>
      <c r="H519" t="s">
        <v>14</v>
      </c>
    </row>
    <row r="520" spans="1:8" x14ac:dyDescent="0.3">
      <c r="A520" s="3">
        <v>86720</v>
      </c>
      <c r="B520" t="s">
        <v>1113</v>
      </c>
      <c r="C520" t="s">
        <v>1120</v>
      </c>
      <c r="D520" t="s">
        <v>11</v>
      </c>
      <c r="E520" t="s">
        <v>35</v>
      </c>
      <c r="F520" t="s">
        <v>1121</v>
      </c>
      <c r="G520" t="s">
        <v>11</v>
      </c>
      <c r="H520" t="s">
        <v>19</v>
      </c>
    </row>
    <row r="521" spans="1:8" x14ac:dyDescent="0.3">
      <c r="A521" s="3">
        <v>528515</v>
      </c>
      <c r="B521" t="s">
        <v>1113</v>
      </c>
      <c r="C521" t="s">
        <v>362</v>
      </c>
      <c r="D521" t="s">
        <v>11</v>
      </c>
      <c r="E521" t="s">
        <v>926</v>
      </c>
      <c r="F521" t="s">
        <v>1122</v>
      </c>
      <c r="G521" t="s">
        <v>11</v>
      </c>
      <c r="H521" t="s">
        <v>35</v>
      </c>
    </row>
    <row r="522" spans="1:8" x14ac:dyDescent="0.3">
      <c r="A522" s="3">
        <v>72351</v>
      </c>
      <c r="B522" t="s">
        <v>1113</v>
      </c>
      <c r="C522" t="s">
        <v>293</v>
      </c>
      <c r="D522" t="s">
        <v>11</v>
      </c>
      <c r="E522" t="s">
        <v>19</v>
      </c>
      <c r="F522" t="s">
        <v>85</v>
      </c>
      <c r="G522" t="s">
        <v>11</v>
      </c>
      <c r="H522" t="s">
        <v>19</v>
      </c>
    </row>
    <row r="523" spans="1:8" x14ac:dyDescent="0.3">
      <c r="A523" s="3">
        <v>73336</v>
      </c>
      <c r="B523" t="s">
        <v>1113</v>
      </c>
      <c r="C523" t="s">
        <v>1123</v>
      </c>
      <c r="D523" t="s">
        <v>11</v>
      </c>
      <c r="E523" t="s">
        <v>69</v>
      </c>
      <c r="F523" t="s">
        <v>89</v>
      </c>
      <c r="G523" t="s">
        <v>11</v>
      </c>
      <c r="H523" t="s">
        <v>19</v>
      </c>
    </row>
    <row r="524" spans="1:8" x14ac:dyDescent="0.3">
      <c r="A524" s="3">
        <v>152022</v>
      </c>
      <c r="B524" t="s">
        <v>1113</v>
      </c>
      <c r="C524" t="s">
        <v>1124</v>
      </c>
      <c r="D524" t="s">
        <v>11</v>
      </c>
      <c r="E524" t="s">
        <v>513</v>
      </c>
      <c r="F524" t="s">
        <v>1125</v>
      </c>
      <c r="G524" t="s">
        <v>11</v>
      </c>
      <c r="H524" t="s">
        <v>130</v>
      </c>
    </row>
    <row r="525" spans="1:8" x14ac:dyDescent="0.3">
      <c r="A525" s="3">
        <v>66835</v>
      </c>
      <c r="B525" t="s">
        <v>1126</v>
      </c>
      <c r="C525" t="s">
        <v>1127</v>
      </c>
      <c r="D525" t="s">
        <v>11</v>
      </c>
      <c r="E525" t="s">
        <v>114</v>
      </c>
      <c r="F525" t="s">
        <v>1128</v>
      </c>
      <c r="G525" t="s">
        <v>11</v>
      </c>
      <c r="H525" t="s">
        <v>14</v>
      </c>
    </row>
    <row r="526" spans="1:8" x14ac:dyDescent="0.3">
      <c r="A526" s="3">
        <v>62535</v>
      </c>
      <c r="B526" t="s">
        <v>1126</v>
      </c>
      <c r="C526" t="s">
        <v>1129</v>
      </c>
      <c r="D526" t="s">
        <v>11</v>
      </c>
      <c r="E526" t="s">
        <v>634</v>
      </c>
      <c r="F526" t="s">
        <v>1130</v>
      </c>
      <c r="G526" t="s">
        <v>11</v>
      </c>
      <c r="H526" t="s">
        <v>37</v>
      </c>
    </row>
    <row r="527" spans="1:8" x14ac:dyDescent="0.3">
      <c r="A527" s="3">
        <v>64723</v>
      </c>
      <c r="B527" t="s">
        <v>1126</v>
      </c>
      <c r="C527" t="s">
        <v>1131</v>
      </c>
      <c r="D527" t="s">
        <v>11</v>
      </c>
      <c r="E527" t="s">
        <v>1132</v>
      </c>
      <c r="F527" t="s">
        <v>1133</v>
      </c>
      <c r="G527" t="s">
        <v>11</v>
      </c>
      <c r="H527" t="s">
        <v>130</v>
      </c>
    </row>
    <row r="528" spans="1:8" x14ac:dyDescent="0.3">
      <c r="A528" s="3">
        <v>148563</v>
      </c>
      <c r="B528" t="s">
        <v>1126</v>
      </c>
      <c r="C528" t="s">
        <v>1134</v>
      </c>
      <c r="D528" t="s">
        <v>11</v>
      </c>
      <c r="E528" t="s">
        <v>64</v>
      </c>
      <c r="F528" t="s">
        <v>65</v>
      </c>
      <c r="G528" t="s">
        <v>11</v>
      </c>
      <c r="H528" t="s">
        <v>19</v>
      </c>
    </row>
    <row r="529" spans="1:8" x14ac:dyDescent="0.3">
      <c r="A529" s="3">
        <v>453360</v>
      </c>
      <c r="B529" t="s">
        <v>1126</v>
      </c>
      <c r="C529" t="s">
        <v>1135</v>
      </c>
      <c r="D529" t="s">
        <v>19</v>
      </c>
      <c r="E529" t="s">
        <v>698</v>
      </c>
      <c r="F529" t="s">
        <v>1136</v>
      </c>
      <c r="G529" t="s">
        <v>19</v>
      </c>
      <c r="H529" t="s">
        <v>69</v>
      </c>
    </row>
    <row r="530" spans="1:8" x14ac:dyDescent="0.3">
      <c r="A530" s="3">
        <v>84387</v>
      </c>
      <c r="B530" t="s">
        <v>1126</v>
      </c>
      <c r="C530" t="s">
        <v>1137</v>
      </c>
      <c r="D530" t="s">
        <v>11</v>
      </c>
      <c r="E530" t="s">
        <v>46</v>
      </c>
      <c r="F530" t="s">
        <v>1138</v>
      </c>
      <c r="G530" t="s">
        <v>11</v>
      </c>
      <c r="H530" t="s">
        <v>19</v>
      </c>
    </row>
    <row r="531" spans="1:8" x14ac:dyDescent="0.3">
      <c r="A531" s="3">
        <v>68207</v>
      </c>
      <c r="B531" t="s">
        <v>1126</v>
      </c>
      <c r="C531" t="s">
        <v>1139</v>
      </c>
      <c r="D531" t="s">
        <v>11</v>
      </c>
      <c r="E531" t="s">
        <v>1140</v>
      </c>
      <c r="F531" t="s">
        <v>1141</v>
      </c>
      <c r="G531" t="s">
        <v>11</v>
      </c>
      <c r="H531" t="s">
        <v>27</v>
      </c>
    </row>
    <row r="532" spans="1:8" x14ac:dyDescent="0.3">
      <c r="A532" s="3">
        <v>459343</v>
      </c>
      <c r="B532" t="s">
        <v>1126</v>
      </c>
      <c r="C532" t="s">
        <v>1142</v>
      </c>
      <c r="D532" t="s">
        <v>11</v>
      </c>
      <c r="E532" t="s">
        <v>107</v>
      </c>
      <c r="F532" t="s">
        <v>1143</v>
      </c>
      <c r="G532" t="s">
        <v>11</v>
      </c>
      <c r="H532" t="s">
        <v>14</v>
      </c>
    </row>
    <row r="533" spans="1:8" x14ac:dyDescent="0.3">
      <c r="A533" s="3">
        <v>552336</v>
      </c>
      <c r="B533" t="s">
        <v>1126</v>
      </c>
      <c r="C533" t="s">
        <v>1144</v>
      </c>
      <c r="D533" t="s">
        <v>11</v>
      </c>
      <c r="E533" t="s">
        <v>19</v>
      </c>
      <c r="F533" t="s">
        <v>1145</v>
      </c>
      <c r="G533" t="s">
        <v>11</v>
      </c>
      <c r="H533" t="s">
        <v>11</v>
      </c>
    </row>
    <row r="534" spans="1:8" x14ac:dyDescent="0.3">
      <c r="A534" s="3">
        <v>58656</v>
      </c>
      <c r="B534" t="s">
        <v>1146</v>
      </c>
      <c r="C534" t="s">
        <v>270</v>
      </c>
      <c r="D534" t="s">
        <v>11</v>
      </c>
      <c r="E534" t="s">
        <v>14</v>
      </c>
      <c r="F534" t="s">
        <v>1147</v>
      </c>
      <c r="G534" t="s">
        <v>11</v>
      </c>
      <c r="H534" t="s">
        <v>19</v>
      </c>
    </row>
    <row r="535" spans="1:8" x14ac:dyDescent="0.3">
      <c r="A535" s="3">
        <v>52414</v>
      </c>
      <c r="B535" t="s">
        <v>1146</v>
      </c>
      <c r="C535" t="s">
        <v>567</v>
      </c>
      <c r="D535" t="s">
        <v>11</v>
      </c>
      <c r="E535" t="s">
        <v>1148</v>
      </c>
      <c r="F535" t="s">
        <v>1149</v>
      </c>
      <c r="G535" t="s">
        <v>11</v>
      </c>
      <c r="H535" t="s">
        <v>16</v>
      </c>
    </row>
    <row r="536" spans="1:8" x14ac:dyDescent="0.3">
      <c r="A536" s="3">
        <v>86800</v>
      </c>
      <c r="B536" t="s">
        <v>1146</v>
      </c>
      <c r="C536" t="s">
        <v>1150</v>
      </c>
      <c r="D536" t="s">
        <v>11</v>
      </c>
      <c r="E536" t="s">
        <v>419</v>
      </c>
      <c r="F536" t="s">
        <v>1151</v>
      </c>
      <c r="G536" t="s">
        <v>11</v>
      </c>
      <c r="H536" t="s">
        <v>35</v>
      </c>
    </row>
    <row r="537" spans="1:8" x14ac:dyDescent="0.3">
      <c r="A537" s="3">
        <v>63648</v>
      </c>
      <c r="B537" t="s">
        <v>1146</v>
      </c>
      <c r="C537" t="s">
        <v>19</v>
      </c>
      <c r="D537" t="s">
        <v>11</v>
      </c>
      <c r="E537" t="s">
        <v>11</v>
      </c>
      <c r="F537" t="s">
        <v>37</v>
      </c>
      <c r="G537" t="s">
        <v>11</v>
      </c>
      <c r="H537" t="s">
        <v>11</v>
      </c>
    </row>
    <row r="538" spans="1:8" x14ac:dyDescent="0.3">
      <c r="A538" s="3">
        <v>62922</v>
      </c>
      <c r="B538" t="s">
        <v>1146</v>
      </c>
      <c r="C538" t="s">
        <v>1152</v>
      </c>
      <c r="D538" t="s">
        <v>11</v>
      </c>
      <c r="E538" t="s">
        <v>299</v>
      </c>
      <c r="F538" t="s">
        <v>1153</v>
      </c>
      <c r="G538" t="s">
        <v>11</v>
      </c>
      <c r="H538" t="s">
        <v>27</v>
      </c>
    </row>
    <row r="539" spans="1:8" x14ac:dyDescent="0.3">
      <c r="A539" s="3">
        <v>66487</v>
      </c>
      <c r="B539" t="s">
        <v>1146</v>
      </c>
      <c r="C539" t="s">
        <v>1154</v>
      </c>
      <c r="D539" t="s">
        <v>11</v>
      </c>
      <c r="E539" t="s">
        <v>336</v>
      </c>
      <c r="F539" t="s">
        <v>1155</v>
      </c>
      <c r="G539" t="s">
        <v>11</v>
      </c>
      <c r="H539" t="s">
        <v>27</v>
      </c>
    </row>
    <row r="540" spans="1:8" x14ac:dyDescent="0.3">
      <c r="A540" s="3">
        <v>64756</v>
      </c>
      <c r="B540" t="s">
        <v>1146</v>
      </c>
      <c r="C540" t="s">
        <v>1156</v>
      </c>
      <c r="D540" t="s">
        <v>11</v>
      </c>
      <c r="E540" t="s">
        <v>46</v>
      </c>
      <c r="F540" t="s">
        <v>227</v>
      </c>
      <c r="G540" t="s">
        <v>11</v>
      </c>
      <c r="H540" t="s">
        <v>19</v>
      </c>
    </row>
    <row r="541" spans="1:8" x14ac:dyDescent="0.3">
      <c r="A541" s="3">
        <v>61239</v>
      </c>
      <c r="B541" t="s">
        <v>1146</v>
      </c>
      <c r="C541" t="s">
        <v>1157</v>
      </c>
      <c r="D541" t="s">
        <v>11</v>
      </c>
      <c r="E541" t="s">
        <v>69</v>
      </c>
      <c r="F541" t="s">
        <v>257</v>
      </c>
      <c r="G541" t="s">
        <v>11</v>
      </c>
      <c r="H541" t="s">
        <v>27</v>
      </c>
    </row>
    <row r="542" spans="1:8" x14ac:dyDescent="0.3">
      <c r="A542" s="3">
        <v>63931</v>
      </c>
      <c r="B542" t="s">
        <v>1146</v>
      </c>
      <c r="C542" t="s">
        <v>1158</v>
      </c>
      <c r="D542" t="s">
        <v>11</v>
      </c>
      <c r="E542" t="s">
        <v>678</v>
      </c>
      <c r="F542" t="s">
        <v>1159</v>
      </c>
      <c r="G542" t="s">
        <v>11</v>
      </c>
      <c r="H542" t="s">
        <v>16</v>
      </c>
    </row>
    <row r="543" spans="1:8" x14ac:dyDescent="0.3">
      <c r="A543" s="3">
        <v>152729</v>
      </c>
      <c r="B543" t="s">
        <v>1146</v>
      </c>
      <c r="C543" t="s">
        <v>440</v>
      </c>
      <c r="D543" t="s">
        <v>11</v>
      </c>
      <c r="E543" t="s">
        <v>130</v>
      </c>
      <c r="F543" t="s">
        <v>1160</v>
      </c>
      <c r="G543" t="s">
        <v>11</v>
      </c>
      <c r="H543" t="s">
        <v>19</v>
      </c>
    </row>
    <row r="544" spans="1:8" x14ac:dyDescent="0.3">
      <c r="A544" s="3">
        <v>193522</v>
      </c>
      <c r="B544" t="s">
        <v>1161</v>
      </c>
      <c r="C544" t="s">
        <v>1162</v>
      </c>
      <c r="D544" t="s">
        <v>11</v>
      </c>
      <c r="E544" t="s">
        <v>64</v>
      </c>
      <c r="F544" t="s">
        <v>422</v>
      </c>
      <c r="G544" t="s">
        <v>19</v>
      </c>
      <c r="H544" t="s">
        <v>19</v>
      </c>
    </row>
    <row r="545" spans="1:8" x14ac:dyDescent="0.3">
      <c r="A545" s="3">
        <v>157350</v>
      </c>
      <c r="B545" t="s">
        <v>1161</v>
      </c>
      <c r="C545" t="s">
        <v>1163</v>
      </c>
      <c r="D545" t="s">
        <v>11</v>
      </c>
      <c r="E545" t="s">
        <v>16</v>
      </c>
      <c r="F545" t="s">
        <v>112</v>
      </c>
      <c r="G545" t="s">
        <v>11</v>
      </c>
      <c r="H545" t="s">
        <v>19</v>
      </c>
    </row>
    <row r="546" spans="1:8" x14ac:dyDescent="0.3">
      <c r="A546" s="3">
        <v>62615</v>
      </c>
      <c r="B546" t="s">
        <v>1161</v>
      </c>
      <c r="C546" t="s">
        <v>1164</v>
      </c>
      <c r="D546" t="s">
        <v>11</v>
      </c>
      <c r="E546" t="s">
        <v>37</v>
      </c>
      <c r="F546" t="s">
        <v>587</v>
      </c>
      <c r="G546" t="s">
        <v>11</v>
      </c>
      <c r="H546" t="s">
        <v>19</v>
      </c>
    </row>
    <row r="547" spans="1:8" x14ac:dyDescent="0.3">
      <c r="A547" s="3">
        <v>151635</v>
      </c>
      <c r="B547" t="s">
        <v>1161</v>
      </c>
      <c r="C547" t="s">
        <v>451</v>
      </c>
      <c r="D547" t="s">
        <v>11</v>
      </c>
      <c r="E547" t="s">
        <v>1076</v>
      </c>
      <c r="F547" t="s">
        <v>1165</v>
      </c>
      <c r="G547" t="s">
        <v>11</v>
      </c>
      <c r="H547" t="s">
        <v>37</v>
      </c>
    </row>
    <row r="548" spans="1:8" x14ac:dyDescent="0.3">
      <c r="A548" s="3">
        <v>463712</v>
      </c>
      <c r="B548" t="s">
        <v>1161</v>
      </c>
      <c r="C548" t="s">
        <v>1166</v>
      </c>
      <c r="D548" t="s">
        <v>11</v>
      </c>
      <c r="E548" t="s">
        <v>472</v>
      </c>
      <c r="F548" t="s">
        <v>1167</v>
      </c>
      <c r="G548" t="s">
        <v>11</v>
      </c>
      <c r="H548" t="s">
        <v>74</v>
      </c>
    </row>
    <row r="549" spans="1:8" x14ac:dyDescent="0.3">
      <c r="A549" s="3">
        <v>168933</v>
      </c>
      <c r="B549" t="s">
        <v>1161</v>
      </c>
      <c r="C549" t="s">
        <v>1168</v>
      </c>
      <c r="D549" t="s">
        <v>11</v>
      </c>
      <c r="E549" t="s">
        <v>14</v>
      </c>
      <c r="F549" t="s">
        <v>1169</v>
      </c>
      <c r="G549" t="s">
        <v>11</v>
      </c>
      <c r="H549" t="s">
        <v>19</v>
      </c>
    </row>
    <row r="550" spans="1:8" x14ac:dyDescent="0.3">
      <c r="A550" s="3">
        <v>463707</v>
      </c>
      <c r="B550" t="s">
        <v>1161</v>
      </c>
      <c r="C550" t="s">
        <v>1170</v>
      </c>
      <c r="D550" t="s">
        <v>11</v>
      </c>
      <c r="E550" t="s">
        <v>46</v>
      </c>
      <c r="F550" t="s">
        <v>1171</v>
      </c>
      <c r="G550" t="s">
        <v>11</v>
      </c>
      <c r="H550" t="s">
        <v>19</v>
      </c>
    </row>
    <row r="551" spans="1:8" x14ac:dyDescent="0.3">
      <c r="A551" s="3">
        <v>488717</v>
      </c>
      <c r="B551" t="s">
        <v>1161</v>
      </c>
      <c r="C551" t="s">
        <v>1172</v>
      </c>
      <c r="D551" t="s">
        <v>11</v>
      </c>
      <c r="E551" t="s">
        <v>256</v>
      </c>
      <c r="F551" t="s">
        <v>1173</v>
      </c>
      <c r="G551" t="s">
        <v>11</v>
      </c>
      <c r="H551" t="s">
        <v>35</v>
      </c>
    </row>
    <row r="552" spans="1:8" x14ac:dyDescent="0.3">
      <c r="A552" s="3">
        <v>60353</v>
      </c>
      <c r="B552" t="s">
        <v>1161</v>
      </c>
      <c r="C552" t="s">
        <v>1174</v>
      </c>
      <c r="D552" t="s">
        <v>11</v>
      </c>
      <c r="E552" t="s">
        <v>261</v>
      </c>
      <c r="F552" t="s">
        <v>1175</v>
      </c>
      <c r="G552" t="s">
        <v>11</v>
      </c>
      <c r="H552" t="s">
        <v>19</v>
      </c>
    </row>
    <row r="553" spans="1:8" x14ac:dyDescent="0.3">
      <c r="A553" s="3">
        <v>148501</v>
      </c>
      <c r="B553" t="s">
        <v>1161</v>
      </c>
      <c r="C553" t="s">
        <v>1176</v>
      </c>
      <c r="D553" t="s">
        <v>11</v>
      </c>
      <c r="E553" t="s">
        <v>105</v>
      </c>
      <c r="F553" t="s">
        <v>1177</v>
      </c>
      <c r="G553" t="s">
        <v>11</v>
      </c>
      <c r="H553" t="s">
        <v>14</v>
      </c>
    </row>
    <row r="554" spans="1:8" x14ac:dyDescent="0.3">
      <c r="A554" s="3">
        <v>150594</v>
      </c>
      <c r="B554" t="s">
        <v>1178</v>
      </c>
      <c r="C554" t="s">
        <v>1179</v>
      </c>
      <c r="D554" t="s">
        <v>11</v>
      </c>
      <c r="E554" t="s">
        <v>142</v>
      </c>
      <c r="F554" t="s">
        <v>343</v>
      </c>
      <c r="G554" t="s">
        <v>11</v>
      </c>
      <c r="H554" t="s">
        <v>19</v>
      </c>
    </row>
    <row r="555" spans="1:8" x14ac:dyDescent="0.3">
      <c r="A555" s="3">
        <v>147691</v>
      </c>
      <c r="B555" t="s">
        <v>1178</v>
      </c>
      <c r="C555" t="s">
        <v>1180</v>
      </c>
      <c r="D555" t="s">
        <v>11</v>
      </c>
      <c r="E555" t="s">
        <v>178</v>
      </c>
      <c r="F555" t="s">
        <v>1181</v>
      </c>
      <c r="G555" t="s">
        <v>11</v>
      </c>
      <c r="H555" t="s">
        <v>46</v>
      </c>
    </row>
    <row r="556" spans="1:8" x14ac:dyDescent="0.3">
      <c r="A556" s="3">
        <v>5352</v>
      </c>
      <c r="B556" t="s">
        <v>1178</v>
      </c>
      <c r="C556" t="s">
        <v>1182</v>
      </c>
      <c r="D556" t="s">
        <v>11</v>
      </c>
      <c r="E556" t="s">
        <v>659</v>
      </c>
      <c r="F556" t="s">
        <v>1183</v>
      </c>
      <c r="G556" t="s">
        <v>11</v>
      </c>
      <c r="H556" t="s">
        <v>37</v>
      </c>
    </row>
    <row r="557" spans="1:8" x14ac:dyDescent="0.3">
      <c r="A557" s="3">
        <v>155030</v>
      </c>
      <c r="B557" t="s">
        <v>1178</v>
      </c>
      <c r="C557" t="s">
        <v>1184</v>
      </c>
      <c r="D557" t="s">
        <v>11</v>
      </c>
      <c r="E557" t="s">
        <v>583</v>
      </c>
      <c r="F557" t="s">
        <v>1185</v>
      </c>
      <c r="G557" t="s">
        <v>11</v>
      </c>
      <c r="H557" t="s">
        <v>99</v>
      </c>
    </row>
    <row r="558" spans="1:8" x14ac:dyDescent="0.3">
      <c r="A558" s="3">
        <v>467994</v>
      </c>
      <c r="B558" t="s">
        <v>1178</v>
      </c>
      <c r="C558" t="s">
        <v>8</v>
      </c>
      <c r="D558" t="s">
        <v>8</v>
      </c>
      <c r="E558" t="s">
        <v>8</v>
      </c>
      <c r="F558" t="s">
        <v>8</v>
      </c>
      <c r="G558" t="s">
        <v>8</v>
      </c>
      <c r="H558" t="s">
        <v>8</v>
      </c>
    </row>
    <row r="559" spans="1:8" x14ac:dyDescent="0.3">
      <c r="A559" s="3">
        <v>780687</v>
      </c>
      <c r="B559" t="s">
        <v>1186</v>
      </c>
      <c r="C559" t="s">
        <v>1187</v>
      </c>
      <c r="D559" t="s">
        <v>11</v>
      </c>
      <c r="E559" t="s">
        <v>1188</v>
      </c>
      <c r="F559" t="s">
        <v>766</v>
      </c>
      <c r="G559" t="s">
        <v>11</v>
      </c>
      <c r="H559" t="s">
        <v>16</v>
      </c>
    </row>
    <row r="560" spans="1:8" x14ac:dyDescent="0.3">
      <c r="A560" s="3">
        <v>67496</v>
      </c>
      <c r="B560" t="s">
        <v>1186</v>
      </c>
      <c r="C560" t="s">
        <v>1189</v>
      </c>
      <c r="D560" t="s">
        <v>11</v>
      </c>
      <c r="E560" t="s">
        <v>89</v>
      </c>
      <c r="F560" t="s">
        <v>1190</v>
      </c>
      <c r="G560" t="s">
        <v>11</v>
      </c>
      <c r="H560" t="s">
        <v>14</v>
      </c>
    </row>
    <row r="561" spans="1:8" x14ac:dyDescent="0.3">
      <c r="A561" s="3">
        <v>156826</v>
      </c>
      <c r="B561" t="s">
        <v>1186</v>
      </c>
      <c r="C561" t="s">
        <v>1191</v>
      </c>
      <c r="D561" t="s">
        <v>11</v>
      </c>
      <c r="E561" t="s">
        <v>253</v>
      </c>
      <c r="F561" t="s">
        <v>1192</v>
      </c>
      <c r="G561" t="s">
        <v>11</v>
      </c>
      <c r="H561" t="s">
        <v>35</v>
      </c>
    </row>
    <row r="562" spans="1:8" x14ac:dyDescent="0.3">
      <c r="A562" s="3">
        <v>443333</v>
      </c>
      <c r="B562" t="s">
        <v>1186</v>
      </c>
      <c r="C562" t="s">
        <v>1193</v>
      </c>
      <c r="D562" t="s">
        <v>11</v>
      </c>
      <c r="E562" t="s">
        <v>37</v>
      </c>
      <c r="F562" t="s">
        <v>20</v>
      </c>
      <c r="G562" t="s">
        <v>11</v>
      </c>
      <c r="H562" t="s">
        <v>19</v>
      </c>
    </row>
    <row r="563" spans="1:8" x14ac:dyDescent="0.3">
      <c r="A563" s="3">
        <v>155426</v>
      </c>
      <c r="B563" t="s">
        <v>1186</v>
      </c>
      <c r="C563" t="s">
        <v>1194</v>
      </c>
      <c r="D563" t="s">
        <v>19</v>
      </c>
      <c r="E563" t="s">
        <v>649</v>
      </c>
      <c r="F563" t="s">
        <v>1195</v>
      </c>
      <c r="G563" t="s">
        <v>11</v>
      </c>
      <c r="H563" t="s">
        <v>19</v>
      </c>
    </row>
    <row r="564" spans="1:8" x14ac:dyDescent="0.3">
      <c r="A564" s="3">
        <v>67793</v>
      </c>
      <c r="B564" t="s">
        <v>1186</v>
      </c>
      <c r="C564" t="s">
        <v>19</v>
      </c>
      <c r="D564" t="s">
        <v>11</v>
      </c>
      <c r="E564" t="s">
        <v>11</v>
      </c>
      <c r="F564" t="s">
        <v>14</v>
      </c>
      <c r="G564" t="s">
        <v>11</v>
      </c>
      <c r="H564" t="s">
        <v>11</v>
      </c>
    </row>
    <row r="565" spans="1:8" x14ac:dyDescent="0.3">
      <c r="A565" s="3">
        <v>154479</v>
      </c>
      <c r="B565" t="s">
        <v>1186</v>
      </c>
      <c r="C565" t="s">
        <v>1196</v>
      </c>
      <c r="D565" t="s">
        <v>11</v>
      </c>
      <c r="E565" t="s">
        <v>578</v>
      </c>
      <c r="F565" t="s">
        <v>1197</v>
      </c>
      <c r="G565" t="s">
        <v>11</v>
      </c>
      <c r="H565" t="s">
        <v>19</v>
      </c>
    </row>
    <row r="566" spans="1:8" x14ac:dyDescent="0.3">
      <c r="A566" s="3">
        <v>65652</v>
      </c>
      <c r="B566" t="s">
        <v>1186</v>
      </c>
      <c r="C566" t="s">
        <v>1198</v>
      </c>
      <c r="D566" t="s">
        <v>19</v>
      </c>
      <c r="E566" t="s">
        <v>14</v>
      </c>
      <c r="F566" t="s">
        <v>1091</v>
      </c>
      <c r="G566" t="s">
        <v>19</v>
      </c>
      <c r="H566" t="s">
        <v>19</v>
      </c>
    </row>
    <row r="567" spans="1:8" x14ac:dyDescent="0.3">
      <c r="A567" s="3">
        <v>520915</v>
      </c>
      <c r="B567" t="s">
        <v>1186</v>
      </c>
      <c r="C567" t="s">
        <v>1199</v>
      </c>
      <c r="D567" t="s">
        <v>19</v>
      </c>
      <c r="E567" t="s">
        <v>19</v>
      </c>
      <c r="F567" t="s">
        <v>250</v>
      </c>
      <c r="G567" t="s">
        <v>19</v>
      </c>
      <c r="H567" t="s">
        <v>19</v>
      </c>
    </row>
    <row r="568" spans="1:8" x14ac:dyDescent="0.3">
      <c r="A568" s="3">
        <v>48931</v>
      </c>
      <c r="B568" t="s">
        <v>1186</v>
      </c>
      <c r="C568" t="s">
        <v>1200</v>
      </c>
      <c r="D568" t="s">
        <v>11</v>
      </c>
      <c r="E568" t="s">
        <v>326</v>
      </c>
      <c r="F568" t="s">
        <v>1201</v>
      </c>
      <c r="G568" t="s">
        <v>11</v>
      </c>
      <c r="H568" t="s">
        <v>130</v>
      </c>
    </row>
    <row r="569" spans="1:8" x14ac:dyDescent="0.3">
      <c r="A569" s="3">
        <v>277994</v>
      </c>
      <c r="B569" t="s">
        <v>1202</v>
      </c>
      <c r="C569" t="s">
        <v>1203</v>
      </c>
      <c r="D569" t="s">
        <v>19</v>
      </c>
      <c r="E569" t="s">
        <v>35</v>
      </c>
      <c r="F569" t="s">
        <v>1204</v>
      </c>
      <c r="G569" t="s">
        <v>19</v>
      </c>
      <c r="H569" t="s">
        <v>19</v>
      </c>
    </row>
    <row r="570" spans="1:8" x14ac:dyDescent="0.3">
      <c r="A570" s="3">
        <v>487845</v>
      </c>
      <c r="B570" t="s">
        <v>1202</v>
      </c>
      <c r="C570" t="s">
        <v>1205</v>
      </c>
      <c r="D570" t="s">
        <v>11</v>
      </c>
      <c r="E570" t="s">
        <v>215</v>
      </c>
      <c r="F570" t="s">
        <v>640</v>
      </c>
      <c r="G570" t="s">
        <v>11</v>
      </c>
      <c r="H570" t="s">
        <v>14</v>
      </c>
    </row>
    <row r="571" spans="1:8" x14ac:dyDescent="0.3">
      <c r="A571" s="3">
        <v>44669</v>
      </c>
      <c r="B571" t="s">
        <v>1202</v>
      </c>
      <c r="C571" t="s">
        <v>762</v>
      </c>
      <c r="D571" t="s">
        <v>11</v>
      </c>
      <c r="E571" t="s">
        <v>40</v>
      </c>
      <c r="F571" t="s">
        <v>1206</v>
      </c>
      <c r="G571" t="s">
        <v>11</v>
      </c>
      <c r="H571" t="s">
        <v>14</v>
      </c>
    </row>
    <row r="572" spans="1:8" x14ac:dyDescent="0.3">
      <c r="A572" s="3">
        <v>489788</v>
      </c>
      <c r="B572" t="s">
        <v>1202</v>
      </c>
      <c r="C572" t="s">
        <v>1207</v>
      </c>
      <c r="D572" t="s">
        <v>19</v>
      </c>
      <c r="E572" t="s">
        <v>49</v>
      </c>
      <c r="F572" t="s">
        <v>1208</v>
      </c>
      <c r="G572" t="s">
        <v>19</v>
      </c>
      <c r="H572" t="s">
        <v>35</v>
      </c>
    </row>
    <row r="573" spans="1:8" x14ac:dyDescent="0.3">
      <c r="A573" s="3">
        <v>42397</v>
      </c>
      <c r="B573" t="s">
        <v>1202</v>
      </c>
      <c r="C573" t="s">
        <v>1209</v>
      </c>
      <c r="D573" t="s">
        <v>11</v>
      </c>
      <c r="E573" t="s">
        <v>12</v>
      </c>
      <c r="F573" t="s">
        <v>1210</v>
      </c>
      <c r="G573" t="s">
        <v>11</v>
      </c>
      <c r="H573" t="s">
        <v>37</v>
      </c>
    </row>
    <row r="574" spans="1:8" x14ac:dyDescent="0.3">
      <c r="A574" s="3">
        <v>63969</v>
      </c>
      <c r="B574" t="s">
        <v>1202</v>
      </c>
      <c r="C574" t="s">
        <v>1211</v>
      </c>
      <c r="D574" t="s">
        <v>11</v>
      </c>
      <c r="E574" t="s">
        <v>20</v>
      </c>
      <c r="F574" t="s">
        <v>1212</v>
      </c>
      <c r="G574" t="s">
        <v>11</v>
      </c>
      <c r="H574" t="s">
        <v>261</v>
      </c>
    </row>
    <row r="575" spans="1:8" x14ac:dyDescent="0.3">
      <c r="A575" s="3">
        <v>758587</v>
      </c>
      <c r="B575" t="s">
        <v>1202</v>
      </c>
      <c r="C575" t="s">
        <v>1213</v>
      </c>
      <c r="D575" t="s">
        <v>11</v>
      </c>
      <c r="E575" t="s">
        <v>414</v>
      </c>
      <c r="F575" t="s">
        <v>1144</v>
      </c>
      <c r="G575" t="s">
        <v>11</v>
      </c>
      <c r="H575" t="s">
        <v>74</v>
      </c>
    </row>
    <row r="576" spans="1:8" x14ac:dyDescent="0.3">
      <c r="A576" s="3">
        <v>55592</v>
      </c>
      <c r="B576" t="s">
        <v>1202</v>
      </c>
      <c r="C576" t="s">
        <v>1214</v>
      </c>
      <c r="D576" t="s">
        <v>11</v>
      </c>
      <c r="E576" t="s">
        <v>769</v>
      </c>
      <c r="F576" t="s">
        <v>1215</v>
      </c>
      <c r="G576" t="s">
        <v>11</v>
      </c>
      <c r="H576" t="s">
        <v>99</v>
      </c>
    </row>
    <row r="577" spans="1:8" x14ac:dyDescent="0.3">
      <c r="A577" s="3">
        <v>150810</v>
      </c>
      <c r="B577" t="s">
        <v>1202</v>
      </c>
      <c r="C577" t="s">
        <v>1216</v>
      </c>
      <c r="D577" t="s">
        <v>11</v>
      </c>
      <c r="E577" t="s">
        <v>490</v>
      </c>
      <c r="F577" t="s">
        <v>101</v>
      </c>
      <c r="G577" t="s">
        <v>11</v>
      </c>
      <c r="H577" t="s">
        <v>19</v>
      </c>
    </row>
    <row r="578" spans="1:8" x14ac:dyDescent="0.3">
      <c r="A578" s="3">
        <v>155643</v>
      </c>
      <c r="B578" t="s">
        <v>1217</v>
      </c>
      <c r="C578" t="s">
        <v>1218</v>
      </c>
      <c r="D578" t="s">
        <v>11</v>
      </c>
      <c r="E578" t="s">
        <v>178</v>
      </c>
      <c r="F578" t="s">
        <v>1219</v>
      </c>
      <c r="G578" t="s">
        <v>11</v>
      </c>
      <c r="H578" t="s">
        <v>14</v>
      </c>
    </row>
    <row r="579" spans="1:8" x14ac:dyDescent="0.3">
      <c r="A579" s="3">
        <v>52466</v>
      </c>
      <c r="B579" t="s">
        <v>1217</v>
      </c>
      <c r="C579" t="s">
        <v>1220</v>
      </c>
      <c r="D579" t="s">
        <v>11</v>
      </c>
      <c r="E579" t="s">
        <v>299</v>
      </c>
      <c r="F579" t="s">
        <v>1221</v>
      </c>
      <c r="G579" t="s">
        <v>11</v>
      </c>
      <c r="H579" t="s">
        <v>37</v>
      </c>
    </row>
    <row r="580" spans="1:8" x14ac:dyDescent="0.3">
      <c r="A580" s="3">
        <v>42608</v>
      </c>
      <c r="B580" t="s">
        <v>1217</v>
      </c>
      <c r="C580" t="s">
        <v>1222</v>
      </c>
      <c r="D580" t="s">
        <v>11</v>
      </c>
      <c r="E580" t="s">
        <v>281</v>
      </c>
      <c r="F580" t="s">
        <v>1223</v>
      </c>
      <c r="G580" t="s">
        <v>11</v>
      </c>
      <c r="H580" t="s">
        <v>16</v>
      </c>
    </row>
    <row r="581" spans="1:8" x14ac:dyDescent="0.3">
      <c r="A581" s="3">
        <v>810585</v>
      </c>
      <c r="B581" t="s">
        <v>1217</v>
      </c>
      <c r="C581" t="s">
        <v>1224</v>
      </c>
      <c r="D581" t="s">
        <v>11</v>
      </c>
      <c r="E581" t="s">
        <v>14</v>
      </c>
      <c r="F581" t="s">
        <v>1225</v>
      </c>
      <c r="G581" t="s">
        <v>11</v>
      </c>
      <c r="H581" t="s">
        <v>19</v>
      </c>
    </row>
    <row r="582" spans="1:8" x14ac:dyDescent="0.3">
      <c r="A582" s="3">
        <v>169777</v>
      </c>
      <c r="B582" t="s">
        <v>1217</v>
      </c>
      <c r="C582" t="s">
        <v>1226</v>
      </c>
      <c r="D582" t="s">
        <v>11</v>
      </c>
      <c r="E582" t="s">
        <v>513</v>
      </c>
      <c r="F582" t="s">
        <v>435</v>
      </c>
      <c r="G582" t="s">
        <v>11</v>
      </c>
      <c r="H582" t="s">
        <v>99</v>
      </c>
    </row>
    <row r="583" spans="1:8" x14ac:dyDescent="0.3">
      <c r="A583" s="3">
        <v>171049</v>
      </c>
      <c r="B583" t="s">
        <v>1217</v>
      </c>
      <c r="C583" t="s">
        <v>1227</v>
      </c>
      <c r="D583" t="s">
        <v>11</v>
      </c>
      <c r="E583" t="s">
        <v>178</v>
      </c>
      <c r="F583" t="s">
        <v>1228</v>
      </c>
      <c r="G583" t="s">
        <v>11</v>
      </c>
      <c r="H583" t="s">
        <v>64</v>
      </c>
    </row>
    <row r="584" spans="1:8" x14ac:dyDescent="0.3">
      <c r="A584" s="3">
        <v>169744</v>
      </c>
      <c r="B584" t="s">
        <v>1217</v>
      </c>
      <c r="C584" t="s">
        <v>1229</v>
      </c>
      <c r="D584" t="s">
        <v>11</v>
      </c>
      <c r="E584" t="s">
        <v>37</v>
      </c>
      <c r="F584" t="s">
        <v>1230</v>
      </c>
      <c r="G584" t="s">
        <v>11</v>
      </c>
      <c r="H584" t="s">
        <v>19</v>
      </c>
    </row>
    <row r="585" spans="1:8" x14ac:dyDescent="0.3">
      <c r="A585" s="3">
        <v>168004</v>
      </c>
      <c r="B585" t="s">
        <v>1217</v>
      </c>
      <c r="C585" t="s">
        <v>1231</v>
      </c>
      <c r="D585" t="s">
        <v>11</v>
      </c>
      <c r="E585" t="s">
        <v>16</v>
      </c>
      <c r="F585" t="s">
        <v>1232</v>
      </c>
      <c r="G585" t="s">
        <v>11</v>
      </c>
      <c r="H585" t="s">
        <v>19</v>
      </c>
    </row>
    <row r="586" spans="1:8" x14ac:dyDescent="0.3">
      <c r="A586" s="3">
        <v>154988</v>
      </c>
      <c r="B586" t="s">
        <v>1217</v>
      </c>
      <c r="C586" t="s">
        <v>1233</v>
      </c>
      <c r="D586" t="s">
        <v>11</v>
      </c>
      <c r="E586" t="s">
        <v>1234</v>
      </c>
      <c r="F586" t="s">
        <v>1049</v>
      </c>
      <c r="G586" t="s">
        <v>11</v>
      </c>
      <c r="H586" t="s">
        <v>46</v>
      </c>
    </row>
    <row r="587" spans="1:8" x14ac:dyDescent="0.3">
      <c r="A587" s="3">
        <v>446869</v>
      </c>
      <c r="B587" t="s">
        <v>1235</v>
      </c>
      <c r="C587" t="s">
        <v>315</v>
      </c>
      <c r="D587" t="s">
        <v>11</v>
      </c>
      <c r="E587" t="s">
        <v>1236</v>
      </c>
      <c r="F587" t="s">
        <v>1237</v>
      </c>
      <c r="G587" t="s">
        <v>11</v>
      </c>
      <c r="H587" t="s">
        <v>130</v>
      </c>
    </row>
    <row r="588" spans="1:8" x14ac:dyDescent="0.3">
      <c r="A588" s="3">
        <v>155092</v>
      </c>
      <c r="B588" t="s">
        <v>1235</v>
      </c>
      <c r="C588" t="s">
        <v>1238</v>
      </c>
      <c r="D588" t="s">
        <v>19</v>
      </c>
      <c r="E588" t="s">
        <v>1239</v>
      </c>
      <c r="F588" t="s">
        <v>1240</v>
      </c>
      <c r="G588" t="s">
        <v>11</v>
      </c>
      <c r="H588" t="s">
        <v>35</v>
      </c>
    </row>
    <row r="589" spans="1:8" x14ac:dyDescent="0.3">
      <c r="A589" s="3">
        <v>487633</v>
      </c>
      <c r="B589" t="s">
        <v>1235</v>
      </c>
      <c r="C589" t="s">
        <v>1241</v>
      </c>
      <c r="D589" t="s">
        <v>11</v>
      </c>
      <c r="E589" t="s">
        <v>27</v>
      </c>
      <c r="F589" t="s">
        <v>239</v>
      </c>
      <c r="G589" t="s">
        <v>11</v>
      </c>
      <c r="H589" t="s">
        <v>19</v>
      </c>
    </row>
    <row r="590" spans="1:8" x14ac:dyDescent="0.3">
      <c r="A590" s="3">
        <v>72756</v>
      </c>
      <c r="B590" t="s">
        <v>1235</v>
      </c>
      <c r="C590" t="s">
        <v>1242</v>
      </c>
      <c r="D590" t="s">
        <v>11</v>
      </c>
      <c r="E590" t="s">
        <v>46</v>
      </c>
      <c r="F590" t="s">
        <v>1243</v>
      </c>
      <c r="G590" t="s">
        <v>11</v>
      </c>
      <c r="H590" t="s">
        <v>19</v>
      </c>
    </row>
    <row r="591" spans="1:8" x14ac:dyDescent="0.3">
      <c r="A591" s="3">
        <v>808441</v>
      </c>
      <c r="B591" t="s">
        <v>1235</v>
      </c>
      <c r="C591" t="s">
        <v>938</v>
      </c>
      <c r="D591" t="s">
        <v>11</v>
      </c>
      <c r="E591" t="s">
        <v>19</v>
      </c>
      <c r="F591" t="s">
        <v>46</v>
      </c>
      <c r="G591" t="s">
        <v>19</v>
      </c>
      <c r="H591" t="s">
        <v>19</v>
      </c>
    </row>
    <row r="592" spans="1:8" x14ac:dyDescent="0.3">
      <c r="A592" s="3">
        <v>458838</v>
      </c>
      <c r="B592" t="s">
        <v>1235</v>
      </c>
      <c r="C592" t="s">
        <v>1244</v>
      </c>
      <c r="D592" t="s">
        <v>19</v>
      </c>
      <c r="E592" t="s">
        <v>74</v>
      </c>
      <c r="F592" t="s">
        <v>1245</v>
      </c>
      <c r="G592" t="s">
        <v>19</v>
      </c>
      <c r="H592" t="s">
        <v>14</v>
      </c>
    </row>
    <row r="593" spans="1:8" x14ac:dyDescent="0.3">
      <c r="A593" s="3">
        <v>55610</v>
      </c>
      <c r="B593" t="s">
        <v>1235</v>
      </c>
      <c r="C593" t="s">
        <v>1246</v>
      </c>
      <c r="D593" t="s">
        <v>11</v>
      </c>
      <c r="E593" t="s">
        <v>118</v>
      </c>
      <c r="F593" t="s">
        <v>1247</v>
      </c>
      <c r="G593" t="s">
        <v>11</v>
      </c>
      <c r="H593" t="s">
        <v>37</v>
      </c>
    </row>
    <row r="594" spans="1:8" x14ac:dyDescent="0.3">
      <c r="A594" s="3">
        <v>59482</v>
      </c>
      <c r="B594" t="s">
        <v>1235</v>
      </c>
      <c r="C594" t="s">
        <v>1248</v>
      </c>
      <c r="D594" t="s">
        <v>11</v>
      </c>
      <c r="E594" t="s">
        <v>105</v>
      </c>
      <c r="F594" t="s">
        <v>842</v>
      </c>
      <c r="G594" t="s">
        <v>11</v>
      </c>
      <c r="H594" t="s">
        <v>27</v>
      </c>
    </row>
    <row r="595" spans="1:8" x14ac:dyDescent="0.3">
      <c r="A595" s="3">
        <v>170182</v>
      </c>
      <c r="B595" t="s">
        <v>1235</v>
      </c>
      <c r="C595" t="s">
        <v>1249</v>
      </c>
      <c r="D595" t="s">
        <v>11</v>
      </c>
      <c r="E595" t="s">
        <v>11</v>
      </c>
      <c r="F595" t="s">
        <v>1250</v>
      </c>
      <c r="G595" t="s">
        <v>11</v>
      </c>
      <c r="H595" t="s">
        <v>11</v>
      </c>
    </row>
    <row r="596" spans="1:8" x14ac:dyDescent="0.3">
      <c r="A596" s="3">
        <v>170747</v>
      </c>
      <c r="B596" t="s">
        <v>1235</v>
      </c>
      <c r="C596" t="s">
        <v>1251</v>
      </c>
      <c r="D596" t="s">
        <v>11</v>
      </c>
      <c r="E596" t="s">
        <v>1252</v>
      </c>
      <c r="F596" t="s">
        <v>922</v>
      </c>
      <c r="G596" t="s">
        <v>11</v>
      </c>
      <c r="H596" t="s">
        <v>74</v>
      </c>
    </row>
    <row r="597" spans="1:8" x14ac:dyDescent="0.3">
      <c r="A597" s="3">
        <v>148087</v>
      </c>
      <c r="B597" t="s">
        <v>1253</v>
      </c>
      <c r="C597" t="s">
        <v>1254</v>
      </c>
      <c r="D597" t="s">
        <v>11</v>
      </c>
      <c r="E597" t="s">
        <v>643</v>
      </c>
      <c r="F597" t="s">
        <v>1255</v>
      </c>
      <c r="G597" t="s">
        <v>19</v>
      </c>
      <c r="H597" t="s">
        <v>35</v>
      </c>
    </row>
    <row r="598" spans="1:8" x14ac:dyDescent="0.3">
      <c r="A598" s="3">
        <v>445148</v>
      </c>
      <c r="B598" t="s">
        <v>1253</v>
      </c>
      <c r="C598" t="s">
        <v>1256</v>
      </c>
      <c r="D598" t="s">
        <v>11</v>
      </c>
      <c r="E598" t="s">
        <v>587</v>
      </c>
      <c r="F598" t="s">
        <v>1111</v>
      </c>
      <c r="G598" t="s">
        <v>11</v>
      </c>
      <c r="H598" t="s">
        <v>14</v>
      </c>
    </row>
    <row r="599" spans="1:8" x14ac:dyDescent="0.3">
      <c r="A599" s="3">
        <v>64742</v>
      </c>
      <c r="B599" t="s">
        <v>1253</v>
      </c>
      <c r="C599" t="s">
        <v>1257</v>
      </c>
      <c r="D599" t="s">
        <v>11</v>
      </c>
      <c r="E599" t="s">
        <v>14</v>
      </c>
      <c r="F599" t="s">
        <v>1258</v>
      </c>
      <c r="G599" t="s">
        <v>11</v>
      </c>
      <c r="H599" t="s">
        <v>27</v>
      </c>
    </row>
    <row r="600" spans="1:8" x14ac:dyDescent="0.3">
      <c r="A600" s="3">
        <v>601073</v>
      </c>
      <c r="B600" t="s">
        <v>1253</v>
      </c>
      <c r="C600" t="s">
        <v>1259</v>
      </c>
      <c r="D600" t="s">
        <v>11</v>
      </c>
      <c r="E600" t="s">
        <v>178</v>
      </c>
      <c r="F600" t="s">
        <v>1260</v>
      </c>
      <c r="G600" t="s">
        <v>11</v>
      </c>
      <c r="H600" t="s">
        <v>14</v>
      </c>
    </row>
    <row r="601" spans="1:8" x14ac:dyDescent="0.3">
      <c r="A601" s="3">
        <v>146229</v>
      </c>
      <c r="B601" t="s">
        <v>1253</v>
      </c>
      <c r="C601" t="s">
        <v>1261</v>
      </c>
      <c r="D601" t="s">
        <v>11</v>
      </c>
      <c r="E601" t="s">
        <v>14</v>
      </c>
      <c r="F601" t="s">
        <v>522</v>
      </c>
      <c r="G601" t="s">
        <v>11</v>
      </c>
      <c r="H601" t="s">
        <v>11</v>
      </c>
    </row>
    <row r="602" spans="1:8" x14ac:dyDescent="0.3">
      <c r="A602" s="3">
        <v>87927</v>
      </c>
      <c r="B602" t="s">
        <v>1253</v>
      </c>
      <c r="C602" t="s">
        <v>1262</v>
      </c>
      <c r="D602" t="s">
        <v>11</v>
      </c>
      <c r="E602" t="s">
        <v>1188</v>
      </c>
      <c r="F602" t="s">
        <v>360</v>
      </c>
      <c r="G602" t="s">
        <v>11</v>
      </c>
      <c r="H602" t="s">
        <v>31</v>
      </c>
    </row>
    <row r="603" spans="1:8" x14ac:dyDescent="0.3">
      <c r="A603" s="3">
        <v>67397</v>
      </c>
      <c r="B603" t="s">
        <v>1253</v>
      </c>
      <c r="C603" t="s">
        <v>1263</v>
      </c>
      <c r="D603" t="s">
        <v>11</v>
      </c>
      <c r="E603" t="s">
        <v>130</v>
      </c>
      <c r="F603" t="s">
        <v>1009</v>
      </c>
      <c r="G603" t="s">
        <v>11</v>
      </c>
      <c r="H603" t="s">
        <v>19</v>
      </c>
    </row>
    <row r="604" spans="1:8" x14ac:dyDescent="0.3">
      <c r="A604" s="3">
        <v>58005</v>
      </c>
      <c r="B604" t="s">
        <v>1253</v>
      </c>
      <c r="C604" t="s">
        <v>1264</v>
      </c>
      <c r="D604" t="s">
        <v>11</v>
      </c>
      <c r="E604" t="s">
        <v>229</v>
      </c>
      <c r="F604" t="s">
        <v>1265</v>
      </c>
      <c r="G604" t="s">
        <v>11</v>
      </c>
      <c r="H604" t="s">
        <v>27</v>
      </c>
    </row>
    <row r="605" spans="1:8" x14ac:dyDescent="0.3">
      <c r="A605" s="3">
        <v>170498</v>
      </c>
      <c r="B605" t="s">
        <v>1253</v>
      </c>
      <c r="C605" t="s">
        <v>1266</v>
      </c>
      <c r="D605" t="s">
        <v>19</v>
      </c>
      <c r="E605" t="s">
        <v>99</v>
      </c>
      <c r="F605" t="s">
        <v>1141</v>
      </c>
      <c r="G605" t="s">
        <v>19</v>
      </c>
      <c r="H605" t="s">
        <v>14</v>
      </c>
    </row>
    <row r="606" spans="1:8" x14ac:dyDescent="0.3">
      <c r="A606" s="3">
        <v>463750</v>
      </c>
      <c r="B606" t="s">
        <v>1267</v>
      </c>
      <c r="C606" t="s">
        <v>1268</v>
      </c>
      <c r="D606" t="s">
        <v>11</v>
      </c>
      <c r="E606" t="s">
        <v>261</v>
      </c>
      <c r="F606" t="s">
        <v>1269</v>
      </c>
      <c r="G606" t="s">
        <v>11</v>
      </c>
      <c r="H606" t="s">
        <v>37</v>
      </c>
    </row>
    <row r="607" spans="1:8" x14ac:dyDescent="0.3">
      <c r="A607" s="3">
        <v>442480</v>
      </c>
      <c r="B607" t="s">
        <v>1267</v>
      </c>
      <c r="C607" t="s">
        <v>1270</v>
      </c>
      <c r="D607" t="s">
        <v>11</v>
      </c>
      <c r="E607" t="s">
        <v>261</v>
      </c>
      <c r="F607" t="s">
        <v>1271</v>
      </c>
      <c r="G607" t="s">
        <v>11</v>
      </c>
      <c r="H607" t="s">
        <v>14</v>
      </c>
    </row>
    <row r="608" spans="1:8" x14ac:dyDescent="0.3">
      <c r="A608" s="3">
        <v>84368</v>
      </c>
      <c r="B608" t="s">
        <v>1267</v>
      </c>
      <c r="C608" t="s">
        <v>1272</v>
      </c>
      <c r="D608" t="s">
        <v>11</v>
      </c>
      <c r="E608" t="s">
        <v>253</v>
      </c>
      <c r="F608" t="s">
        <v>1273</v>
      </c>
      <c r="G608" t="s">
        <v>11</v>
      </c>
      <c r="H608" t="s">
        <v>37</v>
      </c>
    </row>
    <row r="609" spans="1:8" x14ac:dyDescent="0.3">
      <c r="A609" s="3">
        <v>396930</v>
      </c>
      <c r="B609" t="s">
        <v>1267</v>
      </c>
      <c r="C609" t="s">
        <v>1274</v>
      </c>
      <c r="D609" t="s">
        <v>11</v>
      </c>
      <c r="E609" t="s">
        <v>170</v>
      </c>
      <c r="F609" t="s">
        <v>1275</v>
      </c>
      <c r="G609" t="s">
        <v>11</v>
      </c>
      <c r="H609" t="s">
        <v>14</v>
      </c>
    </row>
    <row r="610" spans="1:8" x14ac:dyDescent="0.3">
      <c r="A610" s="3">
        <v>146272</v>
      </c>
      <c r="B610" t="s">
        <v>1267</v>
      </c>
      <c r="C610" t="s">
        <v>1276</v>
      </c>
      <c r="D610" t="s">
        <v>11</v>
      </c>
      <c r="E610" t="s">
        <v>130</v>
      </c>
      <c r="F610" t="s">
        <v>1277</v>
      </c>
      <c r="G610" t="s">
        <v>11</v>
      </c>
      <c r="H610" t="s">
        <v>19</v>
      </c>
    </row>
    <row r="611" spans="1:8" x14ac:dyDescent="0.3">
      <c r="A611" s="3">
        <v>152786</v>
      </c>
      <c r="B611" t="s">
        <v>1267</v>
      </c>
      <c r="C611" t="s">
        <v>1278</v>
      </c>
      <c r="D611" t="s">
        <v>11</v>
      </c>
      <c r="E611" t="s">
        <v>1279</v>
      </c>
      <c r="F611" t="s">
        <v>1280</v>
      </c>
      <c r="G611" t="s">
        <v>11</v>
      </c>
      <c r="H611" t="s">
        <v>54</v>
      </c>
    </row>
    <row r="612" spans="1:8" x14ac:dyDescent="0.3">
      <c r="A612" s="3">
        <v>561675</v>
      </c>
      <c r="B612" t="s">
        <v>1267</v>
      </c>
      <c r="C612" t="s">
        <v>1281</v>
      </c>
      <c r="D612" t="s">
        <v>11</v>
      </c>
      <c r="E612" t="s">
        <v>99</v>
      </c>
      <c r="F612" t="s">
        <v>1282</v>
      </c>
      <c r="G612" t="s">
        <v>11</v>
      </c>
      <c r="H612" t="s">
        <v>14</v>
      </c>
    </row>
    <row r="613" spans="1:8" x14ac:dyDescent="0.3">
      <c r="A613" s="3">
        <v>794415</v>
      </c>
      <c r="B613" t="s">
        <v>1267</v>
      </c>
      <c r="C613" t="s">
        <v>1283</v>
      </c>
      <c r="D613" t="s">
        <v>11</v>
      </c>
      <c r="E613" t="s">
        <v>130</v>
      </c>
      <c r="F613" t="s">
        <v>307</v>
      </c>
      <c r="G613" t="s">
        <v>11</v>
      </c>
      <c r="H613" t="s">
        <v>14</v>
      </c>
    </row>
    <row r="614" spans="1:8" x14ac:dyDescent="0.3">
      <c r="A614" s="3">
        <v>460558</v>
      </c>
      <c r="B614" t="s">
        <v>1284</v>
      </c>
      <c r="C614" t="s">
        <v>1285</v>
      </c>
      <c r="D614" t="s">
        <v>11</v>
      </c>
      <c r="E614" t="s">
        <v>35</v>
      </c>
      <c r="F614" t="s">
        <v>1286</v>
      </c>
      <c r="G614" t="s">
        <v>11</v>
      </c>
      <c r="H614" t="s">
        <v>19</v>
      </c>
    </row>
    <row r="615" spans="1:8" x14ac:dyDescent="0.3">
      <c r="A615" s="3">
        <v>155172</v>
      </c>
      <c r="B615" t="s">
        <v>1284</v>
      </c>
      <c r="C615" t="s">
        <v>1287</v>
      </c>
      <c r="D615" t="s">
        <v>11</v>
      </c>
      <c r="E615" t="s">
        <v>229</v>
      </c>
      <c r="F615" t="s">
        <v>1288</v>
      </c>
      <c r="G615" t="s">
        <v>11</v>
      </c>
      <c r="H615" t="s">
        <v>27</v>
      </c>
    </row>
    <row r="616" spans="1:8" x14ac:dyDescent="0.3">
      <c r="A616" s="3">
        <v>79395</v>
      </c>
      <c r="B616" t="s">
        <v>1284</v>
      </c>
      <c r="C616" t="s">
        <v>565</v>
      </c>
      <c r="D616" t="s">
        <v>11</v>
      </c>
      <c r="E616" t="s">
        <v>118</v>
      </c>
      <c r="F616" t="s">
        <v>473</v>
      </c>
      <c r="G616" t="s">
        <v>11</v>
      </c>
      <c r="H616" t="s">
        <v>35</v>
      </c>
    </row>
    <row r="617" spans="1:8" x14ac:dyDescent="0.3">
      <c r="A617" s="3">
        <v>147988</v>
      </c>
      <c r="B617" t="s">
        <v>1284</v>
      </c>
      <c r="C617" t="s">
        <v>1289</v>
      </c>
      <c r="D617" t="s">
        <v>19</v>
      </c>
      <c r="E617" t="s">
        <v>299</v>
      </c>
      <c r="F617" t="s">
        <v>1290</v>
      </c>
      <c r="G617" t="s">
        <v>19</v>
      </c>
      <c r="H617" t="s">
        <v>35</v>
      </c>
    </row>
    <row r="618" spans="1:8" x14ac:dyDescent="0.3">
      <c r="A618" s="3">
        <v>456486</v>
      </c>
      <c r="B618" t="s">
        <v>1284</v>
      </c>
      <c r="C618" t="s">
        <v>1291</v>
      </c>
      <c r="D618" t="s">
        <v>11</v>
      </c>
      <c r="E618" t="s">
        <v>1292</v>
      </c>
      <c r="F618" t="s">
        <v>881</v>
      </c>
      <c r="G618" t="s">
        <v>11</v>
      </c>
      <c r="H618" t="s">
        <v>19</v>
      </c>
    </row>
    <row r="619" spans="1:8" x14ac:dyDescent="0.3">
      <c r="A619" s="3">
        <v>150513</v>
      </c>
      <c r="B619" t="s">
        <v>1284</v>
      </c>
      <c r="C619" t="s">
        <v>1293</v>
      </c>
      <c r="D619" t="s">
        <v>11</v>
      </c>
      <c r="E619" t="s">
        <v>659</v>
      </c>
      <c r="F619" t="s">
        <v>1294</v>
      </c>
      <c r="G619" t="s">
        <v>11</v>
      </c>
      <c r="H619" t="s">
        <v>37</v>
      </c>
    </row>
    <row r="620" spans="1:8" x14ac:dyDescent="0.3">
      <c r="A620" s="3">
        <v>527196</v>
      </c>
      <c r="B620" t="s">
        <v>1284</v>
      </c>
      <c r="C620" t="s">
        <v>1295</v>
      </c>
      <c r="D620" t="s">
        <v>11</v>
      </c>
      <c r="E620" t="s">
        <v>1296</v>
      </c>
      <c r="F620" t="s">
        <v>1297</v>
      </c>
      <c r="G620" t="s">
        <v>11</v>
      </c>
      <c r="H620" t="s">
        <v>130</v>
      </c>
    </row>
    <row r="621" spans="1:8" x14ac:dyDescent="0.3">
      <c r="A621" s="3">
        <v>148073</v>
      </c>
      <c r="B621" t="s">
        <v>1284</v>
      </c>
      <c r="C621" t="s">
        <v>1298</v>
      </c>
      <c r="D621" t="s">
        <v>19</v>
      </c>
      <c r="E621" t="s">
        <v>74</v>
      </c>
      <c r="F621" t="s">
        <v>1032</v>
      </c>
      <c r="G621" t="s">
        <v>19</v>
      </c>
      <c r="H621" t="s">
        <v>19</v>
      </c>
    </row>
    <row r="622" spans="1:8" x14ac:dyDescent="0.3">
      <c r="A622" s="3">
        <v>92448</v>
      </c>
      <c r="B622" t="s">
        <v>1284</v>
      </c>
      <c r="C622" t="s">
        <v>1299</v>
      </c>
      <c r="D622" t="s">
        <v>11</v>
      </c>
      <c r="E622" t="s">
        <v>1132</v>
      </c>
      <c r="F622" t="s">
        <v>1300</v>
      </c>
      <c r="G622" t="s">
        <v>11</v>
      </c>
      <c r="H622" t="s">
        <v>35</v>
      </c>
    </row>
    <row r="623" spans="1:8" x14ac:dyDescent="0.3">
      <c r="A623" s="3">
        <v>489632</v>
      </c>
      <c r="B623" t="s">
        <v>1301</v>
      </c>
      <c r="C623" t="s">
        <v>1302</v>
      </c>
      <c r="D623" t="s">
        <v>11</v>
      </c>
      <c r="E623" t="s">
        <v>31</v>
      </c>
      <c r="F623" t="s">
        <v>1303</v>
      </c>
      <c r="G623" t="s">
        <v>11</v>
      </c>
      <c r="H623" t="s">
        <v>14</v>
      </c>
    </row>
    <row r="624" spans="1:8" x14ac:dyDescent="0.3">
      <c r="A624" s="3">
        <v>149732</v>
      </c>
      <c r="B624" t="s">
        <v>1301</v>
      </c>
      <c r="C624" t="s">
        <v>1304</v>
      </c>
      <c r="D624" t="s">
        <v>11</v>
      </c>
      <c r="E624" t="s">
        <v>74</v>
      </c>
      <c r="F624" t="s">
        <v>1305</v>
      </c>
      <c r="G624" t="s">
        <v>11</v>
      </c>
      <c r="H624" t="s">
        <v>19</v>
      </c>
    </row>
    <row r="625" spans="1:8" x14ac:dyDescent="0.3">
      <c r="A625" s="3">
        <v>148474</v>
      </c>
      <c r="B625" t="s">
        <v>1301</v>
      </c>
      <c r="C625" t="s">
        <v>1306</v>
      </c>
      <c r="D625" t="s">
        <v>11</v>
      </c>
      <c r="E625" t="s">
        <v>114</v>
      </c>
      <c r="F625" t="s">
        <v>1307</v>
      </c>
      <c r="G625" t="s">
        <v>11</v>
      </c>
      <c r="H625" t="s">
        <v>37</v>
      </c>
    </row>
    <row r="626" spans="1:8" x14ac:dyDescent="0.3">
      <c r="A626" s="3">
        <v>44886</v>
      </c>
      <c r="B626" t="s">
        <v>1301</v>
      </c>
      <c r="C626" t="s">
        <v>1308</v>
      </c>
      <c r="D626" t="s">
        <v>11</v>
      </c>
      <c r="E626" t="s">
        <v>27</v>
      </c>
      <c r="F626" t="s">
        <v>324</v>
      </c>
      <c r="G626" t="s">
        <v>11</v>
      </c>
      <c r="H626" t="s">
        <v>19</v>
      </c>
    </row>
    <row r="627" spans="1:8" x14ac:dyDescent="0.3">
      <c r="A627" s="3">
        <v>148006</v>
      </c>
      <c r="B627" t="s">
        <v>1301</v>
      </c>
      <c r="C627" t="s">
        <v>1309</v>
      </c>
      <c r="D627" t="s">
        <v>11</v>
      </c>
      <c r="E627" t="s">
        <v>105</v>
      </c>
      <c r="F627" t="s">
        <v>1310</v>
      </c>
      <c r="G627" t="s">
        <v>11</v>
      </c>
      <c r="H627" t="s">
        <v>14</v>
      </c>
    </row>
    <row r="628" spans="1:8" x14ac:dyDescent="0.3">
      <c r="A628" s="3">
        <v>458640</v>
      </c>
      <c r="B628" t="s">
        <v>1301</v>
      </c>
      <c r="C628" t="s">
        <v>1311</v>
      </c>
      <c r="D628" t="s">
        <v>11</v>
      </c>
      <c r="E628" t="s">
        <v>1312</v>
      </c>
      <c r="F628" t="s">
        <v>1313</v>
      </c>
      <c r="G628" t="s">
        <v>11</v>
      </c>
      <c r="H628" t="s">
        <v>46</v>
      </c>
    </row>
    <row r="629" spans="1:8" x14ac:dyDescent="0.3">
      <c r="A629" s="3">
        <v>58963</v>
      </c>
      <c r="B629" t="s">
        <v>1301</v>
      </c>
      <c r="C629" t="s">
        <v>1314</v>
      </c>
      <c r="D629" t="s">
        <v>19</v>
      </c>
      <c r="E629" t="s">
        <v>130</v>
      </c>
      <c r="F629" t="s">
        <v>601</v>
      </c>
      <c r="G629" t="s">
        <v>19</v>
      </c>
      <c r="H629" t="s">
        <v>14</v>
      </c>
    </row>
    <row r="630" spans="1:8" x14ac:dyDescent="0.3">
      <c r="A630" s="3">
        <v>169046</v>
      </c>
      <c r="B630" t="s">
        <v>1301</v>
      </c>
      <c r="C630" t="s">
        <v>1315</v>
      </c>
      <c r="D630" t="s">
        <v>11</v>
      </c>
      <c r="E630" t="s">
        <v>155</v>
      </c>
      <c r="F630" t="s">
        <v>1316</v>
      </c>
      <c r="G630" t="s">
        <v>11</v>
      </c>
      <c r="H630" t="s">
        <v>37</v>
      </c>
    </row>
    <row r="631" spans="1:8" x14ac:dyDescent="0.3">
      <c r="A631" s="3">
        <v>441310</v>
      </c>
      <c r="B631" t="s">
        <v>1301</v>
      </c>
      <c r="C631" t="s">
        <v>1317</v>
      </c>
      <c r="D631" t="s">
        <v>11</v>
      </c>
      <c r="E631" t="s">
        <v>64</v>
      </c>
      <c r="F631" t="s">
        <v>912</v>
      </c>
      <c r="G631" t="s">
        <v>11</v>
      </c>
      <c r="H631" t="s">
        <v>19</v>
      </c>
    </row>
    <row r="632" spans="1:8" x14ac:dyDescent="0.3">
      <c r="A632" s="3">
        <v>758568</v>
      </c>
      <c r="B632" t="s">
        <v>1318</v>
      </c>
      <c r="C632" t="s">
        <v>1319</v>
      </c>
      <c r="D632" t="s">
        <v>11</v>
      </c>
      <c r="E632" t="s">
        <v>234</v>
      </c>
      <c r="F632" t="s">
        <v>257</v>
      </c>
      <c r="G632" t="s">
        <v>11</v>
      </c>
      <c r="H632" t="s">
        <v>37</v>
      </c>
    </row>
    <row r="633" spans="1:8" x14ac:dyDescent="0.3">
      <c r="A633" s="3">
        <v>170813</v>
      </c>
      <c r="B633" t="s">
        <v>1318</v>
      </c>
      <c r="C633" t="s">
        <v>1320</v>
      </c>
      <c r="D633" t="s">
        <v>19</v>
      </c>
      <c r="E633" t="s">
        <v>27</v>
      </c>
      <c r="F633" t="s">
        <v>1321</v>
      </c>
      <c r="G633" t="s">
        <v>19</v>
      </c>
      <c r="H633" t="s">
        <v>14</v>
      </c>
    </row>
    <row r="634" spans="1:8" x14ac:dyDescent="0.3">
      <c r="A634" s="3">
        <v>465198</v>
      </c>
      <c r="B634" t="s">
        <v>1318</v>
      </c>
      <c r="C634" t="s">
        <v>1322</v>
      </c>
      <c r="D634" t="s">
        <v>11</v>
      </c>
      <c r="E634" t="s">
        <v>74</v>
      </c>
      <c r="F634" t="s">
        <v>1323</v>
      </c>
      <c r="G634" t="s">
        <v>11</v>
      </c>
      <c r="H634" t="s">
        <v>19</v>
      </c>
    </row>
    <row r="635" spans="1:8" x14ac:dyDescent="0.3">
      <c r="A635" s="3">
        <v>77283</v>
      </c>
      <c r="B635" t="s">
        <v>1318</v>
      </c>
      <c r="C635" t="s">
        <v>1324</v>
      </c>
      <c r="D635" t="s">
        <v>11</v>
      </c>
      <c r="E635" t="s">
        <v>27</v>
      </c>
      <c r="F635" t="s">
        <v>1325</v>
      </c>
      <c r="G635" t="s">
        <v>11</v>
      </c>
      <c r="H635" t="s">
        <v>19</v>
      </c>
    </row>
    <row r="636" spans="1:8" x14ac:dyDescent="0.3">
      <c r="A636" s="3">
        <v>63549</v>
      </c>
      <c r="B636" t="s">
        <v>1318</v>
      </c>
      <c r="C636" t="s">
        <v>19</v>
      </c>
      <c r="D636" t="s">
        <v>11</v>
      </c>
      <c r="E636" t="s">
        <v>11</v>
      </c>
      <c r="F636" t="s">
        <v>19</v>
      </c>
      <c r="G636" t="s">
        <v>11</v>
      </c>
      <c r="H636" t="s">
        <v>11</v>
      </c>
    </row>
    <row r="637" spans="1:8" x14ac:dyDescent="0.3">
      <c r="A637" s="3">
        <v>161286</v>
      </c>
      <c r="B637" t="s">
        <v>1318</v>
      </c>
      <c r="C637" t="s">
        <v>1326</v>
      </c>
      <c r="D637" t="s">
        <v>11</v>
      </c>
      <c r="E637" t="s">
        <v>37</v>
      </c>
      <c r="F637" t="s">
        <v>371</v>
      </c>
      <c r="G637" t="s">
        <v>11</v>
      </c>
      <c r="H637" t="s">
        <v>19</v>
      </c>
    </row>
    <row r="638" spans="1:8" x14ac:dyDescent="0.3">
      <c r="A638" s="3">
        <v>149708</v>
      </c>
      <c r="B638" t="s">
        <v>1318</v>
      </c>
      <c r="C638" t="s">
        <v>1327</v>
      </c>
      <c r="D638" t="s">
        <v>11</v>
      </c>
      <c r="E638" t="s">
        <v>107</v>
      </c>
      <c r="F638" t="s">
        <v>1328</v>
      </c>
      <c r="G638" t="s">
        <v>11</v>
      </c>
      <c r="H638" t="s">
        <v>35</v>
      </c>
    </row>
    <row r="639" spans="1:8" x14ac:dyDescent="0.3">
      <c r="A639" s="3">
        <v>147733</v>
      </c>
      <c r="B639" t="s">
        <v>1318</v>
      </c>
      <c r="C639" t="s">
        <v>1329</v>
      </c>
      <c r="D639" t="s">
        <v>11</v>
      </c>
      <c r="E639" t="s">
        <v>31</v>
      </c>
      <c r="F639" t="s">
        <v>791</v>
      </c>
      <c r="G639" t="s">
        <v>11</v>
      </c>
      <c r="H639" t="s">
        <v>14</v>
      </c>
    </row>
    <row r="640" spans="1:8" x14ac:dyDescent="0.3">
      <c r="A640" s="3">
        <v>440933</v>
      </c>
      <c r="B640" t="s">
        <v>1330</v>
      </c>
      <c r="C640" t="s">
        <v>1331</v>
      </c>
      <c r="D640" t="s">
        <v>11</v>
      </c>
      <c r="E640" t="s">
        <v>19</v>
      </c>
      <c r="F640" t="s">
        <v>1332</v>
      </c>
      <c r="G640" t="s">
        <v>11</v>
      </c>
      <c r="H640" t="s">
        <v>19</v>
      </c>
    </row>
    <row r="641" spans="1:8" x14ac:dyDescent="0.3">
      <c r="A641" s="3">
        <v>52193</v>
      </c>
      <c r="B641" t="s">
        <v>1330</v>
      </c>
      <c r="C641" t="s">
        <v>1180</v>
      </c>
      <c r="D641" t="s">
        <v>11</v>
      </c>
      <c r="E641" t="s">
        <v>12</v>
      </c>
      <c r="F641" t="s">
        <v>538</v>
      </c>
      <c r="G641" t="s">
        <v>19</v>
      </c>
      <c r="H641" t="s">
        <v>37</v>
      </c>
    </row>
    <row r="642" spans="1:8" x14ac:dyDescent="0.3">
      <c r="A642" s="3">
        <v>146333</v>
      </c>
      <c r="B642" t="s">
        <v>1330</v>
      </c>
      <c r="C642" t="s">
        <v>1333</v>
      </c>
      <c r="D642" t="s">
        <v>11</v>
      </c>
      <c r="E642" t="s">
        <v>27</v>
      </c>
      <c r="F642" t="s">
        <v>1334</v>
      </c>
      <c r="G642" t="s">
        <v>11</v>
      </c>
      <c r="H642" t="s">
        <v>19</v>
      </c>
    </row>
    <row r="643" spans="1:8" x14ac:dyDescent="0.3">
      <c r="A643" s="3">
        <v>463788</v>
      </c>
      <c r="B643" t="s">
        <v>1330</v>
      </c>
      <c r="C643" t="s">
        <v>1335</v>
      </c>
      <c r="D643" t="s">
        <v>11</v>
      </c>
      <c r="E643" t="s">
        <v>215</v>
      </c>
      <c r="F643" t="s">
        <v>1336</v>
      </c>
      <c r="G643" t="s">
        <v>11</v>
      </c>
      <c r="H643" t="s">
        <v>27</v>
      </c>
    </row>
    <row r="644" spans="1:8" x14ac:dyDescent="0.3">
      <c r="A644" s="3">
        <v>78094</v>
      </c>
      <c r="B644" t="s">
        <v>1330</v>
      </c>
      <c r="C644" t="s">
        <v>1337</v>
      </c>
      <c r="D644" t="s">
        <v>11</v>
      </c>
      <c r="E644" t="s">
        <v>40</v>
      </c>
      <c r="F644" t="s">
        <v>1338</v>
      </c>
      <c r="G644" t="s">
        <v>11</v>
      </c>
      <c r="H644" t="s">
        <v>14</v>
      </c>
    </row>
    <row r="645" spans="1:8" x14ac:dyDescent="0.3">
      <c r="A645" s="3">
        <v>74152</v>
      </c>
      <c r="B645" t="s">
        <v>1330</v>
      </c>
      <c r="C645" t="s">
        <v>1339</v>
      </c>
      <c r="D645" t="s">
        <v>11</v>
      </c>
      <c r="E645" t="s">
        <v>672</v>
      </c>
      <c r="F645" t="s">
        <v>1340</v>
      </c>
      <c r="G645" t="s">
        <v>11</v>
      </c>
      <c r="H645" t="s">
        <v>54</v>
      </c>
    </row>
    <row r="646" spans="1:8" x14ac:dyDescent="0.3">
      <c r="A646" s="3">
        <v>155006</v>
      </c>
      <c r="B646" t="s">
        <v>1330</v>
      </c>
      <c r="C646" t="s">
        <v>1341</v>
      </c>
      <c r="D646" t="s">
        <v>11</v>
      </c>
      <c r="E646" t="s">
        <v>1342</v>
      </c>
      <c r="F646" t="s">
        <v>1343</v>
      </c>
      <c r="G646" t="s">
        <v>11</v>
      </c>
      <c r="H646" t="s">
        <v>105</v>
      </c>
    </row>
    <row r="647" spans="1:8" x14ac:dyDescent="0.3">
      <c r="A647" s="3">
        <v>60428</v>
      </c>
      <c r="B647" t="s">
        <v>1330</v>
      </c>
      <c r="C647" t="s">
        <v>1344</v>
      </c>
      <c r="D647" t="s">
        <v>19</v>
      </c>
      <c r="E647" t="s">
        <v>926</v>
      </c>
      <c r="F647" t="s">
        <v>1345</v>
      </c>
      <c r="G647" t="s">
        <v>19</v>
      </c>
      <c r="H647" t="s">
        <v>27</v>
      </c>
    </row>
    <row r="648" spans="1:8" x14ac:dyDescent="0.3">
      <c r="A648" s="3">
        <v>462331</v>
      </c>
      <c r="B648" t="s">
        <v>1330</v>
      </c>
      <c r="C648" t="s">
        <v>1346</v>
      </c>
      <c r="D648" t="s">
        <v>11</v>
      </c>
      <c r="E648" t="s">
        <v>139</v>
      </c>
      <c r="F648" t="s">
        <v>1223</v>
      </c>
      <c r="G648" t="s">
        <v>11</v>
      </c>
      <c r="H648" t="s">
        <v>37</v>
      </c>
    </row>
    <row r="649" spans="1:8" x14ac:dyDescent="0.3">
      <c r="A649" s="3">
        <v>148515</v>
      </c>
      <c r="B649" t="s">
        <v>1347</v>
      </c>
      <c r="C649" t="s">
        <v>748</v>
      </c>
      <c r="D649" t="s">
        <v>11</v>
      </c>
      <c r="E649" t="s">
        <v>99</v>
      </c>
      <c r="F649" t="s">
        <v>1348</v>
      </c>
      <c r="G649" t="s">
        <v>11</v>
      </c>
      <c r="H649" t="s">
        <v>19</v>
      </c>
    </row>
    <row r="650" spans="1:8" x14ac:dyDescent="0.3">
      <c r="A650" s="3">
        <v>465216</v>
      </c>
      <c r="B650" t="s">
        <v>1347</v>
      </c>
      <c r="C650" t="s">
        <v>1349</v>
      </c>
      <c r="D650" t="s">
        <v>11</v>
      </c>
      <c r="E650" t="s">
        <v>64</v>
      </c>
      <c r="F650" t="s">
        <v>328</v>
      </c>
      <c r="G650" t="s">
        <v>11</v>
      </c>
      <c r="H650" t="s">
        <v>19</v>
      </c>
    </row>
    <row r="651" spans="1:8" x14ac:dyDescent="0.3">
      <c r="A651" s="3">
        <v>486563</v>
      </c>
      <c r="B651" t="s">
        <v>1347</v>
      </c>
      <c r="C651" t="s">
        <v>1350</v>
      </c>
      <c r="D651" t="s">
        <v>11</v>
      </c>
      <c r="E651" t="s">
        <v>12</v>
      </c>
      <c r="F651" t="s">
        <v>128</v>
      </c>
      <c r="G651" t="s">
        <v>11</v>
      </c>
      <c r="H651" t="s">
        <v>27</v>
      </c>
    </row>
    <row r="652" spans="1:8" x14ac:dyDescent="0.3">
      <c r="A652" s="3">
        <v>152748</v>
      </c>
      <c r="B652" t="s">
        <v>1347</v>
      </c>
      <c r="C652" t="s">
        <v>1351</v>
      </c>
      <c r="D652" t="s">
        <v>11</v>
      </c>
      <c r="E652" t="s">
        <v>19</v>
      </c>
      <c r="F652" t="s">
        <v>85</v>
      </c>
      <c r="G652" t="s">
        <v>11</v>
      </c>
      <c r="H652" t="s">
        <v>11</v>
      </c>
    </row>
    <row r="653" spans="1:8" x14ac:dyDescent="0.3">
      <c r="A653" s="3">
        <v>60206</v>
      </c>
      <c r="B653" t="s">
        <v>1347</v>
      </c>
      <c r="C653" t="s">
        <v>1352</v>
      </c>
      <c r="D653" t="s">
        <v>11</v>
      </c>
      <c r="E653" t="s">
        <v>14</v>
      </c>
      <c r="F653" t="s">
        <v>1353</v>
      </c>
      <c r="G653" t="s">
        <v>11</v>
      </c>
      <c r="H653" t="s">
        <v>19</v>
      </c>
    </row>
    <row r="654" spans="1:8" x14ac:dyDescent="0.3">
      <c r="A654" s="3">
        <v>168805</v>
      </c>
      <c r="B654" t="s">
        <v>1347</v>
      </c>
      <c r="C654" t="s">
        <v>1354</v>
      </c>
      <c r="D654" t="s">
        <v>19</v>
      </c>
      <c r="E654" t="s">
        <v>1355</v>
      </c>
      <c r="F654" t="s">
        <v>1356</v>
      </c>
      <c r="G654" t="s">
        <v>11</v>
      </c>
      <c r="H654" t="s">
        <v>69</v>
      </c>
    </row>
    <row r="655" spans="1:8" x14ac:dyDescent="0.3">
      <c r="A655" s="3">
        <v>74133</v>
      </c>
      <c r="B655" t="s">
        <v>1347</v>
      </c>
      <c r="C655" t="s">
        <v>1357</v>
      </c>
      <c r="D655" t="s">
        <v>11</v>
      </c>
      <c r="E655" t="s">
        <v>35</v>
      </c>
      <c r="F655" t="s">
        <v>1358</v>
      </c>
      <c r="G655" t="s">
        <v>11</v>
      </c>
      <c r="H655" t="s">
        <v>19</v>
      </c>
    </row>
    <row r="656" spans="1:8" x14ac:dyDescent="0.3">
      <c r="A656" s="3">
        <v>148964</v>
      </c>
      <c r="B656" t="s">
        <v>1347</v>
      </c>
      <c r="C656" t="s">
        <v>1359</v>
      </c>
      <c r="D656" t="s">
        <v>11</v>
      </c>
      <c r="E656" t="s">
        <v>261</v>
      </c>
      <c r="F656" t="s">
        <v>1360</v>
      </c>
      <c r="G656" t="s">
        <v>11</v>
      </c>
      <c r="H656" t="s">
        <v>27</v>
      </c>
    </row>
    <row r="657" spans="1:8" x14ac:dyDescent="0.3">
      <c r="A657" s="3">
        <v>64313</v>
      </c>
      <c r="B657" t="s">
        <v>1361</v>
      </c>
      <c r="C657" t="s">
        <v>1362</v>
      </c>
      <c r="D657" t="s">
        <v>11</v>
      </c>
      <c r="E657" t="s">
        <v>35</v>
      </c>
      <c r="F657" t="s">
        <v>491</v>
      </c>
      <c r="G657" t="s">
        <v>11</v>
      </c>
      <c r="H657" t="s">
        <v>14</v>
      </c>
    </row>
    <row r="658" spans="1:8" x14ac:dyDescent="0.3">
      <c r="A658" s="3">
        <v>171030</v>
      </c>
      <c r="B658" t="s">
        <v>1361</v>
      </c>
      <c r="C658" t="s">
        <v>1363</v>
      </c>
      <c r="D658" t="s">
        <v>11</v>
      </c>
      <c r="E658" t="s">
        <v>89</v>
      </c>
      <c r="F658" t="s">
        <v>1364</v>
      </c>
      <c r="G658" t="s">
        <v>11</v>
      </c>
      <c r="H658" t="s">
        <v>19</v>
      </c>
    </row>
    <row r="659" spans="1:8" x14ac:dyDescent="0.3">
      <c r="A659" s="3">
        <v>170262</v>
      </c>
      <c r="B659" t="s">
        <v>1361</v>
      </c>
      <c r="C659" t="s">
        <v>1365</v>
      </c>
      <c r="D659" t="s">
        <v>11</v>
      </c>
      <c r="E659" t="s">
        <v>74</v>
      </c>
      <c r="F659" t="s">
        <v>1366</v>
      </c>
      <c r="G659" t="s">
        <v>11</v>
      </c>
      <c r="H659" t="s">
        <v>19</v>
      </c>
    </row>
    <row r="660" spans="1:8" x14ac:dyDescent="0.3">
      <c r="A660" s="3">
        <v>68783</v>
      </c>
      <c r="B660" t="s">
        <v>1361</v>
      </c>
      <c r="C660" t="s">
        <v>195</v>
      </c>
      <c r="D660" t="s">
        <v>11</v>
      </c>
      <c r="E660" t="s">
        <v>74</v>
      </c>
      <c r="F660" t="s">
        <v>1367</v>
      </c>
      <c r="G660" t="s">
        <v>11</v>
      </c>
      <c r="H660" t="s">
        <v>14</v>
      </c>
    </row>
    <row r="661" spans="1:8" x14ac:dyDescent="0.3">
      <c r="A661" s="3">
        <v>168693</v>
      </c>
      <c r="B661" t="s">
        <v>1361</v>
      </c>
      <c r="C661" t="s">
        <v>1368</v>
      </c>
      <c r="D661" t="s">
        <v>19</v>
      </c>
      <c r="E661" t="s">
        <v>261</v>
      </c>
      <c r="F661" t="s">
        <v>938</v>
      </c>
      <c r="G661" t="s">
        <v>11</v>
      </c>
      <c r="H661" t="s">
        <v>19</v>
      </c>
    </row>
    <row r="662" spans="1:8" x14ac:dyDescent="0.3">
      <c r="A662" s="3">
        <v>59849</v>
      </c>
      <c r="B662" t="s">
        <v>1361</v>
      </c>
      <c r="C662" t="s">
        <v>1369</v>
      </c>
      <c r="D662" t="s">
        <v>11</v>
      </c>
      <c r="E662" t="s">
        <v>12</v>
      </c>
      <c r="F662" t="s">
        <v>1370</v>
      </c>
      <c r="G662" t="s">
        <v>11</v>
      </c>
      <c r="H662" t="s">
        <v>14</v>
      </c>
    </row>
    <row r="663" spans="1:8" x14ac:dyDescent="0.3">
      <c r="A663" s="3">
        <v>533927</v>
      </c>
      <c r="B663" t="s">
        <v>1361</v>
      </c>
      <c r="C663" t="s">
        <v>1371</v>
      </c>
      <c r="D663" t="s">
        <v>11</v>
      </c>
      <c r="E663" t="s">
        <v>99</v>
      </c>
      <c r="F663" t="s">
        <v>295</v>
      </c>
      <c r="G663" t="s">
        <v>11</v>
      </c>
      <c r="H663" t="s">
        <v>19</v>
      </c>
    </row>
    <row r="664" spans="1:8" x14ac:dyDescent="0.3">
      <c r="A664" s="3">
        <v>52268</v>
      </c>
      <c r="B664" t="s">
        <v>1361</v>
      </c>
      <c r="C664" t="s">
        <v>1372</v>
      </c>
      <c r="D664" t="s">
        <v>19</v>
      </c>
      <c r="E664" t="s">
        <v>25</v>
      </c>
      <c r="F664" t="s">
        <v>1373</v>
      </c>
      <c r="G664" t="s">
        <v>19</v>
      </c>
      <c r="H664" t="s">
        <v>37</v>
      </c>
    </row>
    <row r="665" spans="1:8" x14ac:dyDescent="0.3">
      <c r="A665" s="3">
        <v>467970</v>
      </c>
      <c r="B665" t="s">
        <v>1361</v>
      </c>
      <c r="C665" t="s">
        <v>1374</v>
      </c>
      <c r="D665" t="s">
        <v>11</v>
      </c>
      <c r="E665" t="s">
        <v>78</v>
      </c>
      <c r="F665" t="s">
        <v>1375</v>
      </c>
      <c r="G665" t="s">
        <v>11</v>
      </c>
      <c r="H665" t="s">
        <v>37</v>
      </c>
    </row>
    <row r="666" spans="1:8" x14ac:dyDescent="0.3">
      <c r="A666" s="3">
        <v>166203</v>
      </c>
      <c r="B666" t="s">
        <v>1376</v>
      </c>
      <c r="C666" t="s">
        <v>1377</v>
      </c>
      <c r="D666" t="s">
        <v>19</v>
      </c>
      <c r="E666" t="s">
        <v>118</v>
      </c>
      <c r="F666" t="s">
        <v>1378</v>
      </c>
      <c r="G666" t="s">
        <v>19</v>
      </c>
      <c r="H666" t="s">
        <v>35</v>
      </c>
    </row>
    <row r="667" spans="1:8" x14ac:dyDescent="0.3">
      <c r="A667" s="3">
        <v>150872</v>
      </c>
      <c r="B667" t="s">
        <v>1376</v>
      </c>
      <c r="C667" t="s">
        <v>1379</v>
      </c>
      <c r="D667" t="s">
        <v>11</v>
      </c>
      <c r="E667" t="s">
        <v>1128</v>
      </c>
      <c r="F667" t="s">
        <v>142</v>
      </c>
      <c r="G667" t="s">
        <v>11</v>
      </c>
      <c r="H667" t="s">
        <v>11</v>
      </c>
    </row>
    <row r="668" spans="1:8" x14ac:dyDescent="0.3">
      <c r="A668" s="3">
        <v>150631</v>
      </c>
      <c r="B668" t="s">
        <v>1376</v>
      </c>
      <c r="C668" t="s">
        <v>1380</v>
      </c>
      <c r="D668" t="s">
        <v>11</v>
      </c>
      <c r="E668" t="s">
        <v>142</v>
      </c>
      <c r="F668" t="s">
        <v>1381</v>
      </c>
      <c r="G668" t="s">
        <v>11</v>
      </c>
      <c r="H668" t="s">
        <v>19</v>
      </c>
    </row>
    <row r="669" spans="1:8" x14ac:dyDescent="0.3">
      <c r="A669" s="3">
        <v>79871</v>
      </c>
      <c r="B669" t="s">
        <v>1376</v>
      </c>
      <c r="C669" t="s">
        <v>1382</v>
      </c>
      <c r="D669" t="s">
        <v>11</v>
      </c>
      <c r="E669" t="s">
        <v>37</v>
      </c>
      <c r="F669" t="s">
        <v>1383</v>
      </c>
      <c r="G669" t="s">
        <v>11</v>
      </c>
      <c r="H669" t="s">
        <v>19</v>
      </c>
    </row>
    <row r="670" spans="1:8" x14ac:dyDescent="0.3">
      <c r="A670" s="3">
        <v>155313</v>
      </c>
      <c r="B670" t="s">
        <v>1376</v>
      </c>
      <c r="C670" t="s">
        <v>1384</v>
      </c>
      <c r="D670" t="s">
        <v>11</v>
      </c>
      <c r="E670" t="s">
        <v>661</v>
      </c>
      <c r="F670" t="s">
        <v>1385</v>
      </c>
      <c r="G670" t="s">
        <v>11</v>
      </c>
      <c r="H670" t="s">
        <v>64</v>
      </c>
    </row>
    <row r="671" spans="1:8" x14ac:dyDescent="0.3">
      <c r="A671" s="3">
        <v>92660</v>
      </c>
      <c r="B671" t="s">
        <v>1376</v>
      </c>
      <c r="C671" t="s">
        <v>1386</v>
      </c>
      <c r="D671" t="s">
        <v>11</v>
      </c>
      <c r="E671" t="s">
        <v>379</v>
      </c>
      <c r="F671" t="s">
        <v>1387</v>
      </c>
      <c r="G671" t="s">
        <v>11</v>
      </c>
      <c r="H671" t="s">
        <v>99</v>
      </c>
    </row>
    <row r="672" spans="1:8" x14ac:dyDescent="0.3">
      <c r="A672" s="3">
        <v>168235</v>
      </c>
      <c r="B672" t="s">
        <v>1376</v>
      </c>
      <c r="C672" t="s">
        <v>1388</v>
      </c>
      <c r="D672" t="s">
        <v>11</v>
      </c>
      <c r="E672" t="s">
        <v>107</v>
      </c>
      <c r="F672" t="s">
        <v>1389</v>
      </c>
      <c r="G672" t="s">
        <v>11</v>
      </c>
      <c r="H672" t="s">
        <v>14</v>
      </c>
    </row>
    <row r="673" spans="1:8" x14ac:dyDescent="0.3">
      <c r="A673" s="3">
        <v>154969</v>
      </c>
      <c r="B673" t="s">
        <v>1376</v>
      </c>
      <c r="C673" t="s">
        <v>1390</v>
      </c>
      <c r="D673" t="s">
        <v>11</v>
      </c>
      <c r="E673" t="s">
        <v>1312</v>
      </c>
      <c r="F673" t="s">
        <v>1391</v>
      </c>
      <c r="G673" t="s">
        <v>11</v>
      </c>
      <c r="H673" t="s">
        <v>46</v>
      </c>
    </row>
    <row r="674" spans="1:8" x14ac:dyDescent="0.3">
      <c r="A674" s="3">
        <v>155054</v>
      </c>
      <c r="B674" t="s">
        <v>1376</v>
      </c>
      <c r="C674" t="s">
        <v>1131</v>
      </c>
      <c r="D674" t="s">
        <v>11</v>
      </c>
      <c r="E674" t="s">
        <v>1292</v>
      </c>
      <c r="F674" t="s">
        <v>1188</v>
      </c>
      <c r="G674" t="s">
        <v>11</v>
      </c>
      <c r="H674" t="s">
        <v>11</v>
      </c>
    </row>
    <row r="675" spans="1:8" x14ac:dyDescent="0.3">
      <c r="A675" s="3">
        <v>91359</v>
      </c>
      <c r="B675" t="s">
        <v>1392</v>
      </c>
      <c r="C675" t="s">
        <v>1393</v>
      </c>
      <c r="D675" t="s">
        <v>11</v>
      </c>
      <c r="E675" t="s">
        <v>170</v>
      </c>
      <c r="F675" t="s">
        <v>1077</v>
      </c>
      <c r="G675" t="s">
        <v>11</v>
      </c>
      <c r="H675" t="s">
        <v>37</v>
      </c>
    </row>
    <row r="676" spans="1:8" x14ac:dyDescent="0.3">
      <c r="A676" s="3">
        <v>445756</v>
      </c>
      <c r="B676" t="s">
        <v>1392</v>
      </c>
      <c r="C676" t="s">
        <v>1394</v>
      </c>
      <c r="D676" t="s">
        <v>11</v>
      </c>
      <c r="E676" t="s">
        <v>1312</v>
      </c>
      <c r="F676" t="s">
        <v>1395</v>
      </c>
      <c r="G676" t="s">
        <v>11</v>
      </c>
      <c r="H676" t="s">
        <v>27</v>
      </c>
    </row>
    <row r="677" spans="1:8" x14ac:dyDescent="0.3">
      <c r="A677" s="3">
        <v>149727</v>
      </c>
      <c r="B677" t="s">
        <v>1392</v>
      </c>
      <c r="C677" t="s">
        <v>1396</v>
      </c>
      <c r="D677" t="s">
        <v>11</v>
      </c>
      <c r="E677" t="s">
        <v>14</v>
      </c>
      <c r="F677" t="s">
        <v>1397</v>
      </c>
      <c r="G677" t="s">
        <v>11</v>
      </c>
      <c r="H677" t="s">
        <v>14</v>
      </c>
    </row>
    <row r="678" spans="1:8" x14ac:dyDescent="0.3">
      <c r="A678" s="3">
        <v>88229</v>
      </c>
      <c r="B678" t="s">
        <v>1392</v>
      </c>
      <c r="C678" t="s">
        <v>1398</v>
      </c>
      <c r="D678" t="s">
        <v>11</v>
      </c>
      <c r="E678" t="s">
        <v>1399</v>
      </c>
      <c r="F678" t="s">
        <v>1010</v>
      </c>
      <c r="G678" t="s">
        <v>11</v>
      </c>
      <c r="H678" t="s">
        <v>40</v>
      </c>
    </row>
    <row r="679" spans="1:8" x14ac:dyDescent="0.3">
      <c r="A679" s="3">
        <v>399764</v>
      </c>
      <c r="B679" t="s">
        <v>1392</v>
      </c>
      <c r="C679" t="s">
        <v>1400</v>
      </c>
      <c r="D679" t="s">
        <v>11</v>
      </c>
      <c r="E679" t="s">
        <v>178</v>
      </c>
      <c r="F679" t="s">
        <v>158</v>
      </c>
      <c r="G679" t="s">
        <v>11</v>
      </c>
      <c r="H679" t="s">
        <v>14</v>
      </c>
    </row>
    <row r="680" spans="1:8" x14ac:dyDescent="0.3">
      <c r="A680" s="3">
        <v>445105</v>
      </c>
      <c r="B680" t="s">
        <v>1392</v>
      </c>
      <c r="C680" t="s">
        <v>1401</v>
      </c>
      <c r="D680" t="s">
        <v>11</v>
      </c>
      <c r="E680" t="s">
        <v>1128</v>
      </c>
      <c r="F680" t="s">
        <v>1402</v>
      </c>
      <c r="G680" t="s">
        <v>11</v>
      </c>
      <c r="H680" t="s">
        <v>14</v>
      </c>
    </row>
    <row r="681" spans="1:8" x14ac:dyDescent="0.3">
      <c r="A681" s="3">
        <v>261139</v>
      </c>
      <c r="B681" t="s">
        <v>1392</v>
      </c>
      <c r="C681" t="s">
        <v>1403</v>
      </c>
      <c r="D681" t="s">
        <v>11</v>
      </c>
      <c r="E681" t="s">
        <v>261</v>
      </c>
      <c r="F681" t="s">
        <v>1404</v>
      </c>
      <c r="G681" t="s">
        <v>11</v>
      </c>
      <c r="H681" t="s">
        <v>37</v>
      </c>
    </row>
    <row r="682" spans="1:8" x14ac:dyDescent="0.3">
      <c r="A682" s="3">
        <v>808455</v>
      </c>
      <c r="B682" t="s">
        <v>1392</v>
      </c>
      <c r="C682" t="s">
        <v>68</v>
      </c>
      <c r="D682" t="s">
        <v>11</v>
      </c>
      <c r="E682" t="s">
        <v>19</v>
      </c>
      <c r="F682" t="s">
        <v>1405</v>
      </c>
      <c r="G682" t="s">
        <v>11</v>
      </c>
      <c r="H682" t="s">
        <v>11</v>
      </c>
    </row>
    <row r="683" spans="1:8" x14ac:dyDescent="0.3">
      <c r="A683" s="3">
        <v>486657</v>
      </c>
      <c r="B683" t="s">
        <v>1392</v>
      </c>
      <c r="C683" t="s">
        <v>1406</v>
      </c>
      <c r="D683" t="s">
        <v>11</v>
      </c>
      <c r="E683" t="s">
        <v>1407</v>
      </c>
      <c r="F683" t="s">
        <v>1408</v>
      </c>
      <c r="G683" t="s">
        <v>11</v>
      </c>
      <c r="H683" t="s">
        <v>22</v>
      </c>
    </row>
    <row r="684" spans="1:8" x14ac:dyDescent="0.3">
      <c r="A684" s="3">
        <v>45838</v>
      </c>
      <c r="B684" t="s">
        <v>1409</v>
      </c>
      <c r="C684" t="s">
        <v>1410</v>
      </c>
      <c r="D684" t="s">
        <v>11</v>
      </c>
      <c r="E684" t="s">
        <v>472</v>
      </c>
      <c r="F684" t="s">
        <v>411</v>
      </c>
      <c r="G684" t="s">
        <v>11</v>
      </c>
      <c r="H684" t="s">
        <v>37</v>
      </c>
    </row>
    <row r="685" spans="1:8" x14ac:dyDescent="0.3">
      <c r="A685" s="3">
        <v>815446</v>
      </c>
      <c r="B685" t="s">
        <v>1409</v>
      </c>
      <c r="C685" t="s">
        <v>1411</v>
      </c>
      <c r="D685" t="s">
        <v>11</v>
      </c>
      <c r="E685" t="s">
        <v>103</v>
      </c>
      <c r="F685" t="s">
        <v>1045</v>
      </c>
      <c r="G685" t="s">
        <v>11</v>
      </c>
      <c r="H685" t="s">
        <v>130</v>
      </c>
    </row>
    <row r="686" spans="1:8" x14ac:dyDescent="0.3">
      <c r="A686" s="3">
        <v>150607</v>
      </c>
      <c r="B686" t="s">
        <v>1409</v>
      </c>
      <c r="C686" t="s">
        <v>1412</v>
      </c>
      <c r="D686" t="s">
        <v>11</v>
      </c>
      <c r="E686" t="s">
        <v>436</v>
      </c>
      <c r="F686" t="s">
        <v>1413</v>
      </c>
      <c r="G686" t="s">
        <v>11</v>
      </c>
      <c r="H686" t="s">
        <v>37</v>
      </c>
    </row>
    <row r="687" spans="1:8" x14ac:dyDescent="0.3">
      <c r="A687" s="3">
        <v>150551</v>
      </c>
      <c r="B687" t="s">
        <v>1409</v>
      </c>
      <c r="C687" t="s">
        <v>1414</v>
      </c>
      <c r="D687" t="s">
        <v>11</v>
      </c>
      <c r="E687" t="s">
        <v>49</v>
      </c>
      <c r="F687" t="s">
        <v>364</v>
      </c>
      <c r="G687" t="s">
        <v>11</v>
      </c>
      <c r="H687" t="s">
        <v>19</v>
      </c>
    </row>
    <row r="688" spans="1:8" x14ac:dyDescent="0.3">
      <c r="A688" s="3">
        <v>87362</v>
      </c>
      <c r="B688" t="s">
        <v>1409</v>
      </c>
      <c r="C688" t="s">
        <v>1415</v>
      </c>
      <c r="D688" t="s">
        <v>11</v>
      </c>
      <c r="E688" t="s">
        <v>69</v>
      </c>
      <c r="F688" t="s">
        <v>507</v>
      </c>
      <c r="G688" t="s">
        <v>11</v>
      </c>
      <c r="H688" t="s">
        <v>37</v>
      </c>
    </row>
    <row r="689" spans="1:8" x14ac:dyDescent="0.3">
      <c r="A689" s="3">
        <v>61041</v>
      </c>
      <c r="B689" t="s">
        <v>1409</v>
      </c>
      <c r="C689" t="s">
        <v>1416</v>
      </c>
      <c r="D689" t="s">
        <v>11</v>
      </c>
      <c r="E689" t="s">
        <v>19</v>
      </c>
      <c r="F689" t="s">
        <v>587</v>
      </c>
      <c r="G689" t="s">
        <v>11</v>
      </c>
      <c r="H689" t="s">
        <v>11</v>
      </c>
    </row>
    <row r="690" spans="1:8" x14ac:dyDescent="0.3">
      <c r="A690" s="3">
        <v>572867</v>
      </c>
      <c r="B690" t="s">
        <v>1409</v>
      </c>
      <c r="C690" t="s">
        <v>1417</v>
      </c>
      <c r="D690" t="s">
        <v>11</v>
      </c>
      <c r="E690" t="s">
        <v>27</v>
      </c>
      <c r="F690" t="s">
        <v>1418</v>
      </c>
      <c r="G690" t="s">
        <v>11</v>
      </c>
      <c r="H690" t="s">
        <v>19</v>
      </c>
    </row>
    <row r="691" spans="1:8" x14ac:dyDescent="0.3">
      <c r="A691" s="3">
        <v>441273</v>
      </c>
      <c r="B691" t="s">
        <v>1409</v>
      </c>
      <c r="C691" t="s">
        <v>1419</v>
      </c>
      <c r="D691" t="s">
        <v>11</v>
      </c>
      <c r="E691" t="s">
        <v>74</v>
      </c>
      <c r="F691" t="s">
        <v>1420</v>
      </c>
      <c r="G691" t="s">
        <v>11</v>
      </c>
      <c r="H691" t="s">
        <v>19</v>
      </c>
    </row>
    <row r="692" spans="1:8" x14ac:dyDescent="0.3">
      <c r="A692" s="3">
        <v>547241</v>
      </c>
      <c r="B692" t="s">
        <v>1421</v>
      </c>
      <c r="C692" t="s">
        <v>1422</v>
      </c>
      <c r="D692" t="s">
        <v>19</v>
      </c>
      <c r="E692" t="s">
        <v>12</v>
      </c>
      <c r="F692" t="s">
        <v>1423</v>
      </c>
      <c r="G692" t="s">
        <v>19</v>
      </c>
      <c r="H692" t="s">
        <v>27</v>
      </c>
    </row>
    <row r="693" spans="1:8" x14ac:dyDescent="0.3">
      <c r="A693" s="3">
        <v>443818</v>
      </c>
      <c r="B693" t="s">
        <v>1421</v>
      </c>
      <c r="C693" t="s">
        <v>1424</v>
      </c>
      <c r="D693" t="s">
        <v>11</v>
      </c>
      <c r="E693" t="s">
        <v>834</v>
      </c>
      <c r="F693" t="s">
        <v>109</v>
      </c>
      <c r="G693" t="s">
        <v>11</v>
      </c>
      <c r="H693" t="s">
        <v>40</v>
      </c>
    </row>
    <row r="694" spans="1:8" x14ac:dyDescent="0.3">
      <c r="A694" s="3">
        <v>462557</v>
      </c>
      <c r="B694" t="s">
        <v>1421</v>
      </c>
      <c r="C694" t="s">
        <v>1425</v>
      </c>
      <c r="D694" t="s">
        <v>11</v>
      </c>
      <c r="E694" t="s">
        <v>419</v>
      </c>
      <c r="F694" t="s">
        <v>1426</v>
      </c>
      <c r="G694" t="s">
        <v>11</v>
      </c>
      <c r="H694" t="s">
        <v>35</v>
      </c>
    </row>
    <row r="695" spans="1:8" x14ac:dyDescent="0.3">
      <c r="A695" s="3">
        <v>459140</v>
      </c>
      <c r="B695" t="s">
        <v>1421</v>
      </c>
      <c r="C695" t="s">
        <v>1427</v>
      </c>
      <c r="D695" t="s">
        <v>11</v>
      </c>
      <c r="E695" t="s">
        <v>256</v>
      </c>
      <c r="F695" t="s">
        <v>1428</v>
      </c>
      <c r="G695" t="s">
        <v>11</v>
      </c>
      <c r="H695" t="s">
        <v>37</v>
      </c>
    </row>
    <row r="696" spans="1:8" x14ac:dyDescent="0.3">
      <c r="A696" s="3">
        <v>396968</v>
      </c>
      <c r="B696" t="s">
        <v>1421</v>
      </c>
      <c r="C696" t="s">
        <v>1429</v>
      </c>
      <c r="D696" t="s">
        <v>11</v>
      </c>
      <c r="E696" t="s">
        <v>27</v>
      </c>
      <c r="F696" t="s">
        <v>1430</v>
      </c>
      <c r="G696" t="s">
        <v>11</v>
      </c>
      <c r="H696" t="s">
        <v>19</v>
      </c>
    </row>
    <row r="697" spans="1:8" x14ac:dyDescent="0.3">
      <c r="A697" s="3">
        <v>558753</v>
      </c>
      <c r="B697" t="s">
        <v>1421</v>
      </c>
      <c r="C697" t="s">
        <v>1431</v>
      </c>
      <c r="D697" t="s">
        <v>11</v>
      </c>
      <c r="E697" t="s">
        <v>78</v>
      </c>
      <c r="F697" t="s">
        <v>1432</v>
      </c>
      <c r="G697" t="s">
        <v>11</v>
      </c>
      <c r="H697" t="s">
        <v>27</v>
      </c>
    </row>
    <row r="698" spans="1:8" x14ac:dyDescent="0.3">
      <c r="A698" s="3">
        <v>487906</v>
      </c>
      <c r="B698" t="s">
        <v>1421</v>
      </c>
      <c r="C698" t="s">
        <v>1433</v>
      </c>
      <c r="D698" t="s">
        <v>11</v>
      </c>
      <c r="E698" t="s">
        <v>19</v>
      </c>
      <c r="F698" t="s">
        <v>1060</v>
      </c>
      <c r="G698" t="s">
        <v>11</v>
      </c>
      <c r="H698" t="s">
        <v>11</v>
      </c>
    </row>
    <row r="699" spans="1:8" x14ac:dyDescent="0.3">
      <c r="A699" s="3">
        <v>396893</v>
      </c>
      <c r="B699" t="s">
        <v>1421</v>
      </c>
      <c r="C699" t="s">
        <v>1434</v>
      </c>
      <c r="D699" t="s">
        <v>11</v>
      </c>
      <c r="E699" t="s">
        <v>14</v>
      </c>
      <c r="F699" t="s">
        <v>581</v>
      </c>
      <c r="G699" t="s">
        <v>11</v>
      </c>
      <c r="H699" t="s">
        <v>19</v>
      </c>
    </row>
    <row r="700" spans="1:8" x14ac:dyDescent="0.3">
      <c r="A700" s="3">
        <v>465297</v>
      </c>
      <c r="B700" t="s">
        <v>1421</v>
      </c>
      <c r="C700" t="s">
        <v>1435</v>
      </c>
      <c r="D700" t="s">
        <v>11</v>
      </c>
      <c r="E700" t="s">
        <v>31</v>
      </c>
      <c r="F700" t="s">
        <v>1436</v>
      </c>
      <c r="G700" t="s">
        <v>11</v>
      </c>
      <c r="H700" t="s">
        <v>74</v>
      </c>
    </row>
    <row r="701" spans="1:8" x14ac:dyDescent="0.3">
      <c r="A701" s="3">
        <v>89016</v>
      </c>
      <c r="B701" t="s">
        <v>1437</v>
      </c>
      <c r="C701" t="s">
        <v>1438</v>
      </c>
      <c r="D701" t="s">
        <v>11</v>
      </c>
      <c r="E701" t="s">
        <v>107</v>
      </c>
      <c r="F701" t="s">
        <v>1439</v>
      </c>
      <c r="G701" t="s">
        <v>11</v>
      </c>
      <c r="H701" t="s">
        <v>27</v>
      </c>
    </row>
    <row r="702" spans="1:8" x14ac:dyDescent="0.3">
      <c r="A702" s="3">
        <v>72940</v>
      </c>
      <c r="B702" t="s">
        <v>1437</v>
      </c>
      <c r="C702" t="s">
        <v>1440</v>
      </c>
      <c r="D702" t="s">
        <v>19</v>
      </c>
      <c r="E702" t="s">
        <v>436</v>
      </c>
      <c r="F702" t="s">
        <v>1441</v>
      </c>
      <c r="G702" t="s">
        <v>19</v>
      </c>
      <c r="H702" t="s">
        <v>37</v>
      </c>
    </row>
    <row r="703" spans="1:8" x14ac:dyDescent="0.3">
      <c r="A703" s="3">
        <v>808653</v>
      </c>
      <c r="B703" t="s">
        <v>1437</v>
      </c>
      <c r="C703" t="s">
        <v>1442</v>
      </c>
      <c r="D703" t="s">
        <v>11</v>
      </c>
      <c r="E703" t="s">
        <v>256</v>
      </c>
      <c r="F703" t="s">
        <v>1418</v>
      </c>
      <c r="G703" t="s">
        <v>11</v>
      </c>
      <c r="H703" t="s">
        <v>35</v>
      </c>
    </row>
    <row r="704" spans="1:8" x14ac:dyDescent="0.3">
      <c r="A704" s="3">
        <v>148148</v>
      </c>
      <c r="B704" t="s">
        <v>1437</v>
      </c>
      <c r="C704" t="s">
        <v>1443</v>
      </c>
      <c r="D704" t="s">
        <v>19</v>
      </c>
      <c r="E704" t="s">
        <v>16</v>
      </c>
      <c r="F704" t="s">
        <v>1444</v>
      </c>
      <c r="G704" t="s">
        <v>19</v>
      </c>
      <c r="H704" t="s">
        <v>14</v>
      </c>
    </row>
    <row r="705" spans="1:8" x14ac:dyDescent="0.3">
      <c r="A705" s="3">
        <v>159132</v>
      </c>
      <c r="B705" t="s">
        <v>1437</v>
      </c>
      <c r="C705" t="s">
        <v>1445</v>
      </c>
      <c r="D705" t="s">
        <v>11</v>
      </c>
      <c r="E705" t="s">
        <v>142</v>
      </c>
      <c r="F705" t="s">
        <v>1446</v>
      </c>
      <c r="G705" t="s">
        <v>11</v>
      </c>
      <c r="H705" t="s">
        <v>27</v>
      </c>
    </row>
    <row r="706" spans="1:8" x14ac:dyDescent="0.3">
      <c r="A706" s="3">
        <v>148544</v>
      </c>
      <c r="B706" t="s">
        <v>1437</v>
      </c>
      <c r="C706" t="s">
        <v>1447</v>
      </c>
      <c r="D706" t="s">
        <v>11</v>
      </c>
      <c r="E706" t="s">
        <v>14</v>
      </c>
      <c r="F706" t="s">
        <v>1448</v>
      </c>
      <c r="G706" t="s">
        <v>11</v>
      </c>
      <c r="H706" t="s">
        <v>19</v>
      </c>
    </row>
    <row r="707" spans="1:8" x14ac:dyDescent="0.3">
      <c r="A707" s="3">
        <v>458843</v>
      </c>
      <c r="B707" t="s">
        <v>1437</v>
      </c>
      <c r="C707" t="s">
        <v>623</v>
      </c>
      <c r="D707" t="s">
        <v>19</v>
      </c>
      <c r="E707" t="s">
        <v>634</v>
      </c>
      <c r="F707" t="s">
        <v>1449</v>
      </c>
      <c r="G707" t="s">
        <v>19</v>
      </c>
      <c r="H707" t="s">
        <v>37</v>
      </c>
    </row>
    <row r="708" spans="1:8" x14ac:dyDescent="0.3">
      <c r="A708" s="3">
        <v>441348</v>
      </c>
      <c r="B708" t="s">
        <v>1437</v>
      </c>
      <c r="C708" t="s">
        <v>1450</v>
      </c>
      <c r="D708" t="s">
        <v>11</v>
      </c>
      <c r="E708" t="s">
        <v>1451</v>
      </c>
      <c r="F708" t="s">
        <v>1452</v>
      </c>
      <c r="G708" t="s">
        <v>11</v>
      </c>
      <c r="H708" t="s">
        <v>74</v>
      </c>
    </row>
    <row r="709" spans="1:8" x14ac:dyDescent="0.3">
      <c r="A709" s="3">
        <v>168264</v>
      </c>
      <c r="B709" t="s">
        <v>1453</v>
      </c>
      <c r="C709" t="s">
        <v>1454</v>
      </c>
      <c r="D709" t="s">
        <v>11</v>
      </c>
      <c r="E709" t="s">
        <v>530</v>
      </c>
      <c r="F709" t="s">
        <v>1455</v>
      </c>
      <c r="G709" t="s">
        <v>11</v>
      </c>
      <c r="H709" t="s">
        <v>46</v>
      </c>
    </row>
    <row r="710" spans="1:8" x14ac:dyDescent="0.3">
      <c r="A710" s="3">
        <v>149586</v>
      </c>
      <c r="B710" t="s">
        <v>1453</v>
      </c>
      <c r="C710" t="s">
        <v>1456</v>
      </c>
      <c r="D710" t="s">
        <v>11</v>
      </c>
      <c r="E710" t="s">
        <v>74</v>
      </c>
      <c r="F710" t="s">
        <v>1457</v>
      </c>
      <c r="G710" t="s">
        <v>11</v>
      </c>
      <c r="H710" t="s">
        <v>19</v>
      </c>
    </row>
    <row r="711" spans="1:8" x14ac:dyDescent="0.3">
      <c r="A711" s="3">
        <v>459673</v>
      </c>
      <c r="B711" t="s">
        <v>1453</v>
      </c>
      <c r="C711" t="s">
        <v>1458</v>
      </c>
      <c r="D711" t="s">
        <v>11</v>
      </c>
      <c r="E711" t="s">
        <v>99</v>
      </c>
      <c r="F711" t="s">
        <v>65</v>
      </c>
      <c r="G711" t="s">
        <v>11</v>
      </c>
      <c r="H711" t="s">
        <v>19</v>
      </c>
    </row>
    <row r="712" spans="1:8" x14ac:dyDescent="0.3">
      <c r="A712" s="3">
        <v>49681</v>
      </c>
      <c r="B712" t="s">
        <v>1453</v>
      </c>
      <c r="C712" t="s">
        <v>1459</v>
      </c>
      <c r="D712" t="s">
        <v>11</v>
      </c>
      <c r="E712" t="s">
        <v>253</v>
      </c>
      <c r="F712" t="s">
        <v>1460</v>
      </c>
      <c r="G712" t="s">
        <v>11</v>
      </c>
      <c r="H712" t="s">
        <v>27</v>
      </c>
    </row>
    <row r="713" spans="1:8" x14ac:dyDescent="0.3">
      <c r="A713" s="3">
        <v>463316</v>
      </c>
      <c r="B713" t="s">
        <v>1453</v>
      </c>
      <c r="C713" t="s">
        <v>1461</v>
      </c>
      <c r="D713" t="s">
        <v>11</v>
      </c>
      <c r="E713" t="s">
        <v>49</v>
      </c>
      <c r="F713" t="s">
        <v>566</v>
      </c>
      <c r="G713" t="s">
        <v>11</v>
      </c>
      <c r="H713" t="s">
        <v>37</v>
      </c>
    </row>
    <row r="714" spans="1:8" x14ac:dyDescent="0.3">
      <c r="A714" s="3">
        <v>486723</v>
      </c>
      <c r="B714" t="s">
        <v>1453</v>
      </c>
      <c r="C714" t="s">
        <v>1462</v>
      </c>
      <c r="D714" t="s">
        <v>11</v>
      </c>
      <c r="E714" t="s">
        <v>155</v>
      </c>
      <c r="F714" t="s">
        <v>1463</v>
      </c>
      <c r="G714" t="s">
        <v>11</v>
      </c>
      <c r="H714" t="s">
        <v>14</v>
      </c>
    </row>
    <row r="715" spans="1:8" x14ac:dyDescent="0.3">
      <c r="A715" s="3">
        <v>72313</v>
      </c>
      <c r="B715" t="s">
        <v>1453</v>
      </c>
      <c r="C715" t="s">
        <v>1464</v>
      </c>
      <c r="D715" t="s">
        <v>11</v>
      </c>
      <c r="E715" t="s">
        <v>114</v>
      </c>
      <c r="F715" t="s">
        <v>128</v>
      </c>
      <c r="G715" t="s">
        <v>11</v>
      </c>
      <c r="H715" t="s">
        <v>14</v>
      </c>
    </row>
    <row r="716" spans="1:8" x14ac:dyDescent="0.3">
      <c r="A716" s="3">
        <v>447251</v>
      </c>
      <c r="B716" t="s">
        <v>1453</v>
      </c>
      <c r="C716" t="s">
        <v>1465</v>
      </c>
      <c r="D716" t="s">
        <v>11</v>
      </c>
      <c r="E716" t="s">
        <v>178</v>
      </c>
      <c r="F716" t="s">
        <v>1466</v>
      </c>
      <c r="G716" t="s">
        <v>11</v>
      </c>
      <c r="H716" t="s">
        <v>14</v>
      </c>
    </row>
    <row r="717" spans="1:8" x14ac:dyDescent="0.3">
      <c r="A717" s="3">
        <v>486718</v>
      </c>
      <c r="B717" t="s">
        <v>1453</v>
      </c>
      <c r="C717" t="s">
        <v>1467</v>
      </c>
      <c r="D717" t="s">
        <v>11</v>
      </c>
      <c r="E717" t="s">
        <v>27</v>
      </c>
      <c r="F717" t="s">
        <v>1468</v>
      </c>
      <c r="G717" t="s">
        <v>11</v>
      </c>
      <c r="H717" t="s">
        <v>19</v>
      </c>
    </row>
    <row r="718" spans="1:8" x14ac:dyDescent="0.3">
      <c r="A718" s="3">
        <v>62979</v>
      </c>
      <c r="B718" t="s">
        <v>1469</v>
      </c>
      <c r="C718" t="s">
        <v>1434</v>
      </c>
      <c r="D718" t="s">
        <v>11</v>
      </c>
      <c r="E718" t="s">
        <v>35</v>
      </c>
      <c r="F718" t="s">
        <v>1470</v>
      </c>
      <c r="G718" t="s">
        <v>11</v>
      </c>
      <c r="H718" t="s">
        <v>19</v>
      </c>
    </row>
    <row r="719" spans="1:8" x14ac:dyDescent="0.3">
      <c r="A719" s="3">
        <v>489420</v>
      </c>
      <c r="B719" t="s">
        <v>1469</v>
      </c>
      <c r="C719" t="s">
        <v>1471</v>
      </c>
      <c r="D719" t="s">
        <v>19</v>
      </c>
      <c r="E719" t="s">
        <v>37</v>
      </c>
      <c r="F719" t="s">
        <v>643</v>
      </c>
      <c r="G719" t="s">
        <v>19</v>
      </c>
      <c r="H719" t="s">
        <v>19</v>
      </c>
    </row>
    <row r="720" spans="1:8" x14ac:dyDescent="0.3">
      <c r="A720" s="3">
        <v>440966</v>
      </c>
      <c r="B720" t="s">
        <v>1469</v>
      </c>
      <c r="C720" t="s">
        <v>1472</v>
      </c>
      <c r="D720" t="s">
        <v>11</v>
      </c>
      <c r="E720" t="s">
        <v>64</v>
      </c>
      <c r="F720" t="s">
        <v>180</v>
      </c>
      <c r="G720" t="s">
        <v>11</v>
      </c>
      <c r="H720" t="s">
        <v>14</v>
      </c>
    </row>
    <row r="721" spans="1:8" x14ac:dyDescent="0.3">
      <c r="A721" s="3">
        <v>238808</v>
      </c>
      <c r="B721" t="s">
        <v>1469</v>
      </c>
      <c r="C721" t="s">
        <v>1473</v>
      </c>
      <c r="D721" t="s">
        <v>11</v>
      </c>
      <c r="E721" t="s">
        <v>336</v>
      </c>
      <c r="F721" t="s">
        <v>1474</v>
      </c>
      <c r="G721" t="s">
        <v>11</v>
      </c>
      <c r="H721" t="s">
        <v>37</v>
      </c>
    </row>
    <row r="722" spans="1:8" x14ac:dyDescent="0.3">
      <c r="A722" s="3">
        <v>68429</v>
      </c>
      <c r="B722" t="s">
        <v>1469</v>
      </c>
      <c r="C722" t="s">
        <v>19</v>
      </c>
      <c r="D722" t="s">
        <v>11</v>
      </c>
      <c r="E722" t="s">
        <v>11</v>
      </c>
      <c r="F722" t="s">
        <v>14</v>
      </c>
      <c r="G722" t="s">
        <v>11</v>
      </c>
      <c r="H722" t="s">
        <v>11</v>
      </c>
    </row>
    <row r="723" spans="1:8" x14ac:dyDescent="0.3">
      <c r="A723" s="3">
        <v>552633</v>
      </c>
      <c r="B723" t="s">
        <v>1469</v>
      </c>
      <c r="C723" t="s">
        <v>1475</v>
      </c>
      <c r="D723" t="s">
        <v>19</v>
      </c>
      <c r="E723" t="s">
        <v>69</v>
      </c>
      <c r="F723" t="s">
        <v>1476</v>
      </c>
      <c r="G723" t="s">
        <v>19</v>
      </c>
      <c r="H723" t="s">
        <v>27</v>
      </c>
    </row>
    <row r="724" spans="1:8" x14ac:dyDescent="0.3">
      <c r="A724" s="3">
        <v>528389</v>
      </c>
      <c r="B724" t="s">
        <v>1469</v>
      </c>
      <c r="C724" t="s">
        <v>1477</v>
      </c>
      <c r="D724" t="s">
        <v>11</v>
      </c>
      <c r="E724" t="s">
        <v>64</v>
      </c>
      <c r="F724" t="s">
        <v>665</v>
      </c>
      <c r="G724" t="s">
        <v>11</v>
      </c>
      <c r="H724" t="s">
        <v>14</v>
      </c>
    </row>
    <row r="725" spans="1:8" x14ac:dyDescent="0.3">
      <c r="A725" s="3">
        <v>49129</v>
      </c>
      <c r="B725" t="s">
        <v>1469</v>
      </c>
      <c r="C725" t="s">
        <v>1478</v>
      </c>
      <c r="D725" t="s">
        <v>11</v>
      </c>
      <c r="E725" t="s">
        <v>69</v>
      </c>
      <c r="F725" t="s">
        <v>1479</v>
      </c>
      <c r="G725" t="s">
        <v>11</v>
      </c>
      <c r="H725" t="s">
        <v>14</v>
      </c>
    </row>
    <row r="726" spans="1:8" x14ac:dyDescent="0.3">
      <c r="A726" s="3">
        <v>447883</v>
      </c>
      <c r="B726" t="s">
        <v>1469</v>
      </c>
      <c r="C726" t="s">
        <v>151</v>
      </c>
      <c r="D726" t="s">
        <v>11</v>
      </c>
      <c r="E726" t="s">
        <v>1480</v>
      </c>
      <c r="F726" t="s">
        <v>1481</v>
      </c>
      <c r="G726" t="s">
        <v>11</v>
      </c>
      <c r="H726" t="s">
        <v>27</v>
      </c>
    </row>
    <row r="727" spans="1:8" x14ac:dyDescent="0.3">
      <c r="A727" s="3">
        <v>70385</v>
      </c>
      <c r="B727" t="s">
        <v>1482</v>
      </c>
      <c r="C727" t="s">
        <v>1483</v>
      </c>
      <c r="D727" t="s">
        <v>11</v>
      </c>
      <c r="E727" t="s">
        <v>78</v>
      </c>
      <c r="F727" t="s">
        <v>1365</v>
      </c>
      <c r="G727" t="s">
        <v>11</v>
      </c>
      <c r="H727" t="s">
        <v>37</v>
      </c>
    </row>
    <row r="728" spans="1:8" x14ac:dyDescent="0.3">
      <c r="A728" s="3">
        <v>542408</v>
      </c>
      <c r="B728" t="s">
        <v>1482</v>
      </c>
      <c r="C728" t="s">
        <v>1484</v>
      </c>
      <c r="D728" t="s">
        <v>11</v>
      </c>
      <c r="E728" t="s">
        <v>139</v>
      </c>
      <c r="F728" t="s">
        <v>1485</v>
      </c>
      <c r="G728" t="s">
        <v>11</v>
      </c>
      <c r="H728" t="s">
        <v>27</v>
      </c>
    </row>
    <row r="729" spans="1:8" x14ac:dyDescent="0.3">
      <c r="A729" s="3">
        <v>52683</v>
      </c>
      <c r="B729" t="s">
        <v>1482</v>
      </c>
      <c r="C729" t="s">
        <v>569</v>
      </c>
      <c r="D729" t="s">
        <v>11</v>
      </c>
      <c r="E729" t="s">
        <v>19</v>
      </c>
      <c r="F729" t="s">
        <v>834</v>
      </c>
      <c r="G729" t="s">
        <v>11</v>
      </c>
      <c r="H729" t="s">
        <v>11</v>
      </c>
    </row>
    <row r="730" spans="1:8" x14ac:dyDescent="0.3">
      <c r="A730" s="3">
        <v>58171</v>
      </c>
      <c r="B730" t="s">
        <v>1482</v>
      </c>
      <c r="C730" t="s">
        <v>1486</v>
      </c>
      <c r="D730" t="s">
        <v>11</v>
      </c>
      <c r="E730" t="s">
        <v>74</v>
      </c>
      <c r="F730" t="s">
        <v>1487</v>
      </c>
      <c r="G730" t="s">
        <v>11</v>
      </c>
      <c r="H730" t="s">
        <v>19</v>
      </c>
    </row>
    <row r="731" spans="1:8" x14ac:dyDescent="0.3">
      <c r="A731" s="3">
        <v>151956</v>
      </c>
      <c r="B731" t="s">
        <v>1482</v>
      </c>
      <c r="C731" t="s">
        <v>1488</v>
      </c>
      <c r="D731" t="s">
        <v>19</v>
      </c>
      <c r="E731" t="s">
        <v>14</v>
      </c>
      <c r="F731" t="s">
        <v>490</v>
      </c>
      <c r="G731" t="s">
        <v>19</v>
      </c>
      <c r="H731" t="s">
        <v>19</v>
      </c>
    </row>
    <row r="732" spans="1:8" x14ac:dyDescent="0.3">
      <c r="A732" s="3">
        <v>489627</v>
      </c>
      <c r="B732" t="s">
        <v>1482</v>
      </c>
      <c r="C732" t="s">
        <v>1489</v>
      </c>
      <c r="D732" t="s">
        <v>11</v>
      </c>
      <c r="E732" t="s">
        <v>54</v>
      </c>
      <c r="F732" t="s">
        <v>1490</v>
      </c>
      <c r="G732" t="s">
        <v>11</v>
      </c>
      <c r="H732" t="s">
        <v>14</v>
      </c>
    </row>
    <row r="733" spans="1:8" x14ac:dyDescent="0.3">
      <c r="A733" s="3">
        <v>64092</v>
      </c>
      <c r="B733" t="s">
        <v>1482</v>
      </c>
      <c r="C733" t="s">
        <v>1491</v>
      </c>
      <c r="D733" t="s">
        <v>11</v>
      </c>
      <c r="E733" t="s">
        <v>19</v>
      </c>
      <c r="F733" t="s">
        <v>1492</v>
      </c>
      <c r="G733" t="s">
        <v>11</v>
      </c>
      <c r="H733" t="s">
        <v>11</v>
      </c>
    </row>
    <row r="734" spans="1:8" x14ac:dyDescent="0.3">
      <c r="A734" s="3">
        <v>61381</v>
      </c>
      <c r="B734" t="s">
        <v>1482</v>
      </c>
      <c r="C734" t="s">
        <v>1493</v>
      </c>
      <c r="D734" t="s">
        <v>11</v>
      </c>
      <c r="E734" t="s">
        <v>250</v>
      </c>
      <c r="F734" t="s">
        <v>1494</v>
      </c>
      <c r="G734" t="s">
        <v>11</v>
      </c>
      <c r="H734" t="s">
        <v>27</v>
      </c>
    </row>
    <row r="735" spans="1:8" x14ac:dyDescent="0.3">
      <c r="A735" s="3">
        <v>154974</v>
      </c>
      <c r="B735" t="s">
        <v>1482</v>
      </c>
      <c r="C735" t="s">
        <v>1495</v>
      </c>
      <c r="D735" t="s">
        <v>11</v>
      </c>
      <c r="E735" t="s">
        <v>281</v>
      </c>
      <c r="F735" t="s">
        <v>1496</v>
      </c>
      <c r="G735" t="s">
        <v>11</v>
      </c>
      <c r="H735" t="s">
        <v>35</v>
      </c>
    </row>
    <row r="736" spans="1:8" x14ac:dyDescent="0.3">
      <c r="A736" s="3">
        <v>398081</v>
      </c>
      <c r="B736" t="s">
        <v>1482</v>
      </c>
      <c r="C736" t="s">
        <v>1497</v>
      </c>
      <c r="D736" t="s">
        <v>11</v>
      </c>
      <c r="E736" t="s">
        <v>336</v>
      </c>
      <c r="F736" t="s">
        <v>1480</v>
      </c>
      <c r="G736" t="s">
        <v>11</v>
      </c>
      <c r="H736" t="s">
        <v>14</v>
      </c>
    </row>
    <row r="737" spans="1:8" x14ac:dyDescent="0.3">
      <c r="A737" s="3">
        <v>60923</v>
      </c>
      <c r="B737" t="s">
        <v>1498</v>
      </c>
      <c r="C737" t="s">
        <v>1499</v>
      </c>
      <c r="D737" t="s">
        <v>11</v>
      </c>
      <c r="E737" t="s">
        <v>22</v>
      </c>
      <c r="F737" t="s">
        <v>1500</v>
      </c>
      <c r="G737" t="s">
        <v>11</v>
      </c>
      <c r="H737" t="s">
        <v>37</v>
      </c>
    </row>
    <row r="738" spans="1:8" x14ac:dyDescent="0.3">
      <c r="A738" s="3">
        <v>567818</v>
      </c>
      <c r="B738" t="s">
        <v>1498</v>
      </c>
      <c r="C738" t="s">
        <v>1501</v>
      </c>
      <c r="D738" t="s">
        <v>19</v>
      </c>
      <c r="E738" t="s">
        <v>25</v>
      </c>
      <c r="F738" t="s">
        <v>554</v>
      </c>
      <c r="G738" t="s">
        <v>19</v>
      </c>
      <c r="H738" t="s">
        <v>27</v>
      </c>
    </row>
    <row r="739" spans="1:8" x14ac:dyDescent="0.3">
      <c r="A739" s="3">
        <v>60433</v>
      </c>
      <c r="B739" t="s">
        <v>1498</v>
      </c>
      <c r="C739" t="s">
        <v>1502</v>
      </c>
      <c r="D739" t="s">
        <v>19</v>
      </c>
      <c r="E739" t="s">
        <v>14</v>
      </c>
      <c r="F739" t="s">
        <v>1503</v>
      </c>
      <c r="G739" t="s">
        <v>19</v>
      </c>
      <c r="H739" t="s">
        <v>19</v>
      </c>
    </row>
    <row r="740" spans="1:8" x14ac:dyDescent="0.3">
      <c r="A740" s="3">
        <v>65633</v>
      </c>
      <c r="B740" t="s">
        <v>1498</v>
      </c>
      <c r="C740" t="s">
        <v>1504</v>
      </c>
      <c r="D740" t="s">
        <v>19</v>
      </c>
      <c r="E740" t="s">
        <v>139</v>
      </c>
      <c r="F740" t="s">
        <v>581</v>
      </c>
      <c r="G740" t="s">
        <v>19</v>
      </c>
      <c r="H740" t="s">
        <v>27</v>
      </c>
    </row>
    <row r="741" spans="1:8" x14ac:dyDescent="0.3">
      <c r="A741" s="3">
        <v>463967</v>
      </c>
      <c r="B741" t="s">
        <v>1498</v>
      </c>
      <c r="C741" t="s">
        <v>1505</v>
      </c>
      <c r="D741" t="s">
        <v>11</v>
      </c>
      <c r="E741" t="s">
        <v>316</v>
      </c>
      <c r="F741" t="s">
        <v>1506</v>
      </c>
      <c r="G741" t="s">
        <v>11</v>
      </c>
      <c r="H741" t="s">
        <v>27</v>
      </c>
    </row>
    <row r="742" spans="1:8" x14ac:dyDescent="0.3">
      <c r="A742" s="3">
        <v>42444</v>
      </c>
      <c r="B742" t="s">
        <v>1498</v>
      </c>
      <c r="C742" t="s">
        <v>1507</v>
      </c>
      <c r="D742" t="s">
        <v>11</v>
      </c>
      <c r="E742" t="s">
        <v>14</v>
      </c>
      <c r="F742" t="s">
        <v>626</v>
      </c>
      <c r="G742" t="s">
        <v>11</v>
      </c>
      <c r="H742" t="s">
        <v>19</v>
      </c>
    </row>
    <row r="743" spans="1:8" x14ac:dyDescent="0.3">
      <c r="A743" s="3">
        <v>463444</v>
      </c>
      <c r="B743" t="s">
        <v>1498</v>
      </c>
      <c r="C743" t="s">
        <v>1508</v>
      </c>
      <c r="D743" t="s">
        <v>11</v>
      </c>
      <c r="E743" t="s">
        <v>107</v>
      </c>
      <c r="F743" t="s">
        <v>212</v>
      </c>
      <c r="G743" t="s">
        <v>11</v>
      </c>
      <c r="H743" t="s">
        <v>14</v>
      </c>
    </row>
    <row r="744" spans="1:8" x14ac:dyDescent="0.3">
      <c r="A744" s="3">
        <v>823998</v>
      </c>
      <c r="B744" t="s">
        <v>1498</v>
      </c>
      <c r="C744" t="s">
        <v>1509</v>
      </c>
      <c r="D744" t="s">
        <v>11</v>
      </c>
      <c r="E744" t="s">
        <v>316</v>
      </c>
      <c r="F744" t="s">
        <v>313</v>
      </c>
      <c r="G744" t="s">
        <v>11</v>
      </c>
      <c r="H744" t="s">
        <v>46</v>
      </c>
    </row>
    <row r="745" spans="1:8" x14ac:dyDescent="0.3">
      <c r="A745" s="3">
        <v>79908</v>
      </c>
      <c r="B745" t="s">
        <v>1498</v>
      </c>
      <c r="C745" t="s">
        <v>1510</v>
      </c>
      <c r="D745" t="s">
        <v>11</v>
      </c>
      <c r="E745" t="s">
        <v>35</v>
      </c>
      <c r="F745" t="s">
        <v>1511</v>
      </c>
      <c r="G745" t="s">
        <v>11</v>
      </c>
      <c r="H745" t="s">
        <v>19</v>
      </c>
    </row>
    <row r="746" spans="1:8" x14ac:dyDescent="0.3">
      <c r="A746" s="3">
        <v>42401</v>
      </c>
      <c r="B746" t="s">
        <v>1512</v>
      </c>
      <c r="C746" t="s">
        <v>1513</v>
      </c>
      <c r="D746" t="s">
        <v>11</v>
      </c>
      <c r="E746" t="s">
        <v>29</v>
      </c>
      <c r="F746" t="s">
        <v>1514</v>
      </c>
      <c r="G746" t="s">
        <v>11</v>
      </c>
      <c r="H746" t="s">
        <v>43</v>
      </c>
    </row>
    <row r="747" spans="1:8" x14ac:dyDescent="0.3">
      <c r="A747" s="3">
        <v>67175</v>
      </c>
      <c r="B747" t="s">
        <v>1512</v>
      </c>
      <c r="C747" t="s">
        <v>1382</v>
      </c>
      <c r="D747" t="s">
        <v>11</v>
      </c>
      <c r="E747" t="s">
        <v>19</v>
      </c>
      <c r="F747" t="s">
        <v>1515</v>
      </c>
      <c r="G747" t="s">
        <v>11</v>
      </c>
      <c r="H747" t="s">
        <v>19</v>
      </c>
    </row>
    <row r="748" spans="1:8" x14ac:dyDescent="0.3">
      <c r="A748" s="3">
        <v>384507</v>
      </c>
      <c r="B748" t="s">
        <v>1512</v>
      </c>
      <c r="C748" t="s">
        <v>1516</v>
      </c>
      <c r="D748" t="s">
        <v>11</v>
      </c>
      <c r="E748" t="s">
        <v>114</v>
      </c>
      <c r="F748" t="s">
        <v>1517</v>
      </c>
      <c r="G748" t="s">
        <v>11</v>
      </c>
      <c r="H748" t="s">
        <v>37</v>
      </c>
    </row>
    <row r="749" spans="1:8" x14ac:dyDescent="0.3">
      <c r="A749" s="3">
        <v>93396</v>
      </c>
      <c r="B749" t="s">
        <v>1512</v>
      </c>
      <c r="C749" t="s">
        <v>1518</v>
      </c>
      <c r="D749" t="s">
        <v>11</v>
      </c>
      <c r="E749" t="s">
        <v>1519</v>
      </c>
      <c r="F749" t="s">
        <v>1520</v>
      </c>
      <c r="G749" t="s">
        <v>11</v>
      </c>
      <c r="H749" t="s">
        <v>16</v>
      </c>
    </row>
    <row r="750" spans="1:8" x14ac:dyDescent="0.3">
      <c r="A750" s="3">
        <v>399797</v>
      </c>
      <c r="B750" t="s">
        <v>1512</v>
      </c>
      <c r="C750" t="s">
        <v>1521</v>
      </c>
      <c r="D750" t="s">
        <v>11</v>
      </c>
      <c r="E750" t="s">
        <v>19</v>
      </c>
      <c r="F750" t="s">
        <v>991</v>
      </c>
      <c r="G750" t="s">
        <v>11</v>
      </c>
      <c r="H750" t="s">
        <v>11</v>
      </c>
    </row>
    <row r="751" spans="1:8" x14ac:dyDescent="0.3">
      <c r="A751" s="3">
        <v>148619</v>
      </c>
      <c r="B751" t="s">
        <v>1512</v>
      </c>
      <c r="C751" t="s">
        <v>1522</v>
      </c>
      <c r="D751" t="s">
        <v>11</v>
      </c>
      <c r="E751" t="s">
        <v>139</v>
      </c>
      <c r="F751" t="s">
        <v>213</v>
      </c>
      <c r="G751" t="s">
        <v>11</v>
      </c>
      <c r="H751" t="s">
        <v>27</v>
      </c>
    </row>
    <row r="752" spans="1:8" x14ac:dyDescent="0.3">
      <c r="A752" s="3">
        <v>168339</v>
      </c>
      <c r="B752" t="s">
        <v>1512</v>
      </c>
      <c r="C752" t="s">
        <v>1523</v>
      </c>
      <c r="D752" t="s">
        <v>11</v>
      </c>
      <c r="E752" t="s">
        <v>89</v>
      </c>
      <c r="F752" t="s">
        <v>695</v>
      </c>
      <c r="G752" t="s">
        <v>11</v>
      </c>
      <c r="H752" t="s">
        <v>14</v>
      </c>
    </row>
    <row r="753" spans="1:8" x14ac:dyDescent="0.3">
      <c r="A753" s="3">
        <v>65609</v>
      </c>
      <c r="B753" t="s">
        <v>1512</v>
      </c>
      <c r="C753" t="s">
        <v>1524</v>
      </c>
      <c r="D753" t="s">
        <v>19</v>
      </c>
      <c r="E753" t="s">
        <v>22</v>
      </c>
      <c r="F753" t="s">
        <v>1525</v>
      </c>
      <c r="G753" t="s">
        <v>19</v>
      </c>
      <c r="H753" t="s">
        <v>27</v>
      </c>
    </row>
    <row r="754" spans="1:8" x14ac:dyDescent="0.3">
      <c r="A754" s="3">
        <v>441777</v>
      </c>
      <c r="B754" t="s">
        <v>1512</v>
      </c>
      <c r="C754" t="s">
        <v>1526</v>
      </c>
      <c r="D754" t="s">
        <v>11</v>
      </c>
      <c r="E754" t="s">
        <v>74</v>
      </c>
      <c r="F754" t="s">
        <v>1527</v>
      </c>
      <c r="G754" t="s">
        <v>11</v>
      </c>
      <c r="H754" t="s">
        <v>19</v>
      </c>
    </row>
    <row r="755" spans="1:8" x14ac:dyDescent="0.3">
      <c r="A755" s="3">
        <v>464108</v>
      </c>
      <c r="B755" t="s">
        <v>1528</v>
      </c>
      <c r="C755" t="s">
        <v>1529</v>
      </c>
      <c r="D755" t="s">
        <v>11</v>
      </c>
      <c r="E755" t="s">
        <v>472</v>
      </c>
      <c r="F755" t="s">
        <v>1530</v>
      </c>
      <c r="G755" t="s">
        <v>11</v>
      </c>
      <c r="H755" t="s">
        <v>16</v>
      </c>
    </row>
    <row r="756" spans="1:8" x14ac:dyDescent="0.3">
      <c r="A756" s="3">
        <v>447816</v>
      </c>
      <c r="B756" t="s">
        <v>1528</v>
      </c>
      <c r="C756" t="s">
        <v>1531</v>
      </c>
      <c r="D756" t="s">
        <v>11</v>
      </c>
      <c r="E756" t="s">
        <v>37</v>
      </c>
      <c r="F756" t="s">
        <v>400</v>
      </c>
      <c r="G756" t="s">
        <v>11</v>
      </c>
      <c r="H756" t="s">
        <v>19</v>
      </c>
    </row>
    <row r="757" spans="1:8" x14ac:dyDescent="0.3">
      <c r="A757" s="3">
        <v>489444</v>
      </c>
      <c r="B757" t="s">
        <v>1528</v>
      </c>
      <c r="C757" t="s">
        <v>1532</v>
      </c>
      <c r="D757" t="s">
        <v>11</v>
      </c>
      <c r="E757" t="s">
        <v>261</v>
      </c>
      <c r="F757" t="s">
        <v>1533</v>
      </c>
      <c r="G757" t="s">
        <v>11</v>
      </c>
      <c r="H757" t="s">
        <v>14</v>
      </c>
    </row>
    <row r="758" spans="1:8" x14ac:dyDescent="0.3">
      <c r="A758" s="3">
        <v>463806</v>
      </c>
      <c r="B758" t="s">
        <v>1528</v>
      </c>
      <c r="C758" t="s">
        <v>1534</v>
      </c>
      <c r="D758" t="s">
        <v>11</v>
      </c>
      <c r="E758" t="s">
        <v>299</v>
      </c>
      <c r="F758" t="s">
        <v>1535</v>
      </c>
      <c r="G758" t="s">
        <v>11</v>
      </c>
      <c r="H758" t="s">
        <v>27</v>
      </c>
    </row>
    <row r="759" spans="1:8" x14ac:dyDescent="0.3">
      <c r="A759" s="3">
        <v>758554</v>
      </c>
      <c r="B759" t="s">
        <v>1528</v>
      </c>
      <c r="C759" t="s">
        <v>1536</v>
      </c>
      <c r="D759" t="s">
        <v>11</v>
      </c>
      <c r="E759" t="s">
        <v>31</v>
      </c>
      <c r="F759" t="s">
        <v>1537</v>
      </c>
      <c r="G759" t="s">
        <v>11</v>
      </c>
      <c r="H759" t="s">
        <v>37</v>
      </c>
    </row>
    <row r="760" spans="1:8" x14ac:dyDescent="0.3">
      <c r="A760" s="3">
        <v>815125</v>
      </c>
      <c r="B760" t="s">
        <v>1528</v>
      </c>
      <c r="C760" t="s">
        <v>1538</v>
      </c>
      <c r="D760" t="s">
        <v>11</v>
      </c>
      <c r="E760" t="s">
        <v>121</v>
      </c>
      <c r="F760" t="s">
        <v>857</v>
      </c>
      <c r="G760" t="s">
        <v>11</v>
      </c>
      <c r="H760" t="s">
        <v>261</v>
      </c>
    </row>
    <row r="761" spans="1:8" x14ac:dyDescent="0.3">
      <c r="A761" s="3">
        <v>443173</v>
      </c>
      <c r="B761" t="s">
        <v>1528</v>
      </c>
      <c r="C761" t="s">
        <v>1539</v>
      </c>
      <c r="D761" t="s">
        <v>11</v>
      </c>
      <c r="E761" t="s">
        <v>387</v>
      </c>
      <c r="F761" t="s">
        <v>1162</v>
      </c>
      <c r="G761" t="s">
        <v>11</v>
      </c>
      <c r="H761" t="s">
        <v>27</v>
      </c>
    </row>
    <row r="762" spans="1:8" x14ac:dyDescent="0.3">
      <c r="A762" s="3">
        <v>64049</v>
      </c>
      <c r="B762" t="s">
        <v>1528</v>
      </c>
      <c r="C762" t="s">
        <v>1540</v>
      </c>
      <c r="D762" t="s">
        <v>19</v>
      </c>
      <c r="E762" t="s">
        <v>43</v>
      </c>
      <c r="F762" t="s">
        <v>1541</v>
      </c>
      <c r="G762" t="s">
        <v>19</v>
      </c>
      <c r="H762" t="s">
        <v>14</v>
      </c>
    </row>
    <row r="763" spans="1:8" x14ac:dyDescent="0.3">
      <c r="A763" s="3">
        <v>155073</v>
      </c>
      <c r="B763" t="s">
        <v>1542</v>
      </c>
      <c r="C763" t="s">
        <v>1543</v>
      </c>
      <c r="D763" t="s">
        <v>11</v>
      </c>
      <c r="E763" t="s">
        <v>74</v>
      </c>
      <c r="F763" t="s">
        <v>1544</v>
      </c>
      <c r="G763" t="s">
        <v>11</v>
      </c>
      <c r="H763" t="s">
        <v>19</v>
      </c>
    </row>
    <row r="764" spans="1:8" x14ac:dyDescent="0.3">
      <c r="A764" s="3">
        <v>606061</v>
      </c>
      <c r="B764" t="s">
        <v>1542</v>
      </c>
      <c r="C764" t="s">
        <v>1545</v>
      </c>
      <c r="D764" t="s">
        <v>11</v>
      </c>
      <c r="E764" t="s">
        <v>25</v>
      </c>
      <c r="F764" t="s">
        <v>1546</v>
      </c>
      <c r="G764" t="s">
        <v>11</v>
      </c>
      <c r="H764" t="s">
        <v>37</v>
      </c>
    </row>
    <row r="765" spans="1:8" x14ac:dyDescent="0.3">
      <c r="A765" s="3">
        <v>79814</v>
      </c>
      <c r="B765" t="s">
        <v>1542</v>
      </c>
      <c r="C765" t="s">
        <v>1547</v>
      </c>
      <c r="D765" t="s">
        <v>19</v>
      </c>
      <c r="E765" t="s">
        <v>107</v>
      </c>
      <c r="F765" t="s">
        <v>1548</v>
      </c>
      <c r="G765" t="s">
        <v>19</v>
      </c>
      <c r="H765" t="s">
        <v>14</v>
      </c>
    </row>
    <row r="766" spans="1:8" x14ac:dyDescent="0.3">
      <c r="A766" s="3">
        <v>63441</v>
      </c>
      <c r="B766" t="s">
        <v>1542</v>
      </c>
      <c r="C766" t="s">
        <v>1549</v>
      </c>
      <c r="D766" t="s">
        <v>11</v>
      </c>
      <c r="E766" t="s">
        <v>634</v>
      </c>
      <c r="F766" t="s">
        <v>1550</v>
      </c>
      <c r="G766" t="s">
        <v>11</v>
      </c>
      <c r="H766" t="s">
        <v>37</v>
      </c>
    </row>
    <row r="767" spans="1:8" x14ac:dyDescent="0.3">
      <c r="A767" s="3">
        <v>45904</v>
      </c>
      <c r="B767" t="s">
        <v>1542</v>
      </c>
      <c r="C767" t="s">
        <v>1551</v>
      </c>
      <c r="D767" t="s">
        <v>11</v>
      </c>
      <c r="E767" t="s">
        <v>472</v>
      </c>
      <c r="F767" t="s">
        <v>644</v>
      </c>
      <c r="G767" t="s">
        <v>11</v>
      </c>
      <c r="H767" t="s">
        <v>16</v>
      </c>
    </row>
    <row r="768" spans="1:8" x14ac:dyDescent="0.3">
      <c r="A768" s="3">
        <v>58784</v>
      </c>
      <c r="B768" t="s">
        <v>1542</v>
      </c>
      <c r="C768" t="s">
        <v>1552</v>
      </c>
      <c r="D768" t="s">
        <v>19</v>
      </c>
      <c r="E768" t="s">
        <v>105</v>
      </c>
      <c r="F768" t="s">
        <v>910</v>
      </c>
      <c r="G768" t="s">
        <v>19</v>
      </c>
      <c r="H768" t="s">
        <v>27</v>
      </c>
    </row>
    <row r="769" spans="1:8" x14ac:dyDescent="0.3">
      <c r="A769" s="3">
        <v>808851</v>
      </c>
      <c r="B769" t="s">
        <v>1542</v>
      </c>
      <c r="C769" t="s">
        <v>1553</v>
      </c>
      <c r="D769" t="s">
        <v>11</v>
      </c>
      <c r="E769" t="s">
        <v>14</v>
      </c>
      <c r="F769" t="s">
        <v>1342</v>
      </c>
      <c r="G769" t="s">
        <v>11</v>
      </c>
      <c r="H769" t="s">
        <v>19</v>
      </c>
    </row>
    <row r="770" spans="1:8" x14ac:dyDescent="0.3">
      <c r="A770" s="3">
        <v>455104</v>
      </c>
      <c r="B770" t="s">
        <v>1542</v>
      </c>
      <c r="C770" t="s">
        <v>1554</v>
      </c>
      <c r="D770" t="s">
        <v>11</v>
      </c>
      <c r="E770" t="s">
        <v>530</v>
      </c>
      <c r="F770" t="s">
        <v>1555</v>
      </c>
      <c r="G770" t="s">
        <v>11</v>
      </c>
      <c r="H770" t="s">
        <v>16</v>
      </c>
    </row>
    <row r="771" spans="1:8" x14ac:dyDescent="0.3">
      <c r="A771" s="3">
        <v>66840</v>
      </c>
      <c r="B771" t="s">
        <v>1542</v>
      </c>
      <c r="C771" t="s">
        <v>612</v>
      </c>
      <c r="D771" t="s">
        <v>11</v>
      </c>
      <c r="E771" t="s">
        <v>16</v>
      </c>
      <c r="F771" t="s">
        <v>1556</v>
      </c>
      <c r="G771" t="s">
        <v>11</v>
      </c>
      <c r="H771" t="s">
        <v>19</v>
      </c>
    </row>
    <row r="772" spans="1:8" x14ac:dyDescent="0.3">
      <c r="A772" s="3">
        <v>42509</v>
      </c>
      <c r="B772" t="s">
        <v>1557</v>
      </c>
      <c r="C772" t="s">
        <v>1558</v>
      </c>
      <c r="D772" t="s">
        <v>11</v>
      </c>
      <c r="E772" t="s">
        <v>215</v>
      </c>
      <c r="F772" t="s">
        <v>1559</v>
      </c>
      <c r="G772" t="s">
        <v>11</v>
      </c>
      <c r="H772" t="s">
        <v>35</v>
      </c>
    </row>
    <row r="773" spans="1:8" x14ac:dyDescent="0.3">
      <c r="A773" s="3">
        <v>61201</v>
      </c>
      <c r="B773" t="s">
        <v>1557</v>
      </c>
      <c r="C773" t="s">
        <v>1560</v>
      </c>
      <c r="D773" t="s">
        <v>11</v>
      </c>
      <c r="E773" t="s">
        <v>14</v>
      </c>
      <c r="F773" t="s">
        <v>1561</v>
      </c>
      <c r="G773" t="s">
        <v>11</v>
      </c>
      <c r="H773" t="s">
        <v>19</v>
      </c>
    </row>
    <row r="774" spans="1:8" x14ac:dyDescent="0.3">
      <c r="A774" s="3">
        <v>456472</v>
      </c>
      <c r="B774" t="s">
        <v>1557</v>
      </c>
      <c r="C774" t="s">
        <v>1562</v>
      </c>
      <c r="D774" t="s">
        <v>11</v>
      </c>
      <c r="E774" t="s">
        <v>1490</v>
      </c>
      <c r="F774" t="s">
        <v>1563</v>
      </c>
      <c r="G774" t="s">
        <v>11</v>
      </c>
      <c r="H774" t="s">
        <v>130</v>
      </c>
    </row>
    <row r="775" spans="1:8" x14ac:dyDescent="0.3">
      <c r="A775" s="3">
        <v>148025</v>
      </c>
      <c r="B775" t="s">
        <v>1557</v>
      </c>
      <c r="C775" t="s">
        <v>1564</v>
      </c>
      <c r="D775" t="s">
        <v>11</v>
      </c>
      <c r="E775" t="s">
        <v>74</v>
      </c>
      <c r="F775" t="s">
        <v>1543</v>
      </c>
      <c r="G775" t="s">
        <v>11</v>
      </c>
      <c r="H775" t="s">
        <v>19</v>
      </c>
    </row>
    <row r="776" spans="1:8" x14ac:dyDescent="0.3">
      <c r="A776" s="3">
        <v>84373</v>
      </c>
      <c r="B776" t="s">
        <v>1557</v>
      </c>
      <c r="C776" t="s">
        <v>1565</v>
      </c>
      <c r="D776" t="s">
        <v>11</v>
      </c>
      <c r="E776" t="s">
        <v>64</v>
      </c>
      <c r="F776" t="s">
        <v>1566</v>
      </c>
      <c r="G776" t="s">
        <v>11</v>
      </c>
      <c r="H776" t="s">
        <v>19</v>
      </c>
    </row>
    <row r="777" spans="1:8" x14ac:dyDescent="0.3">
      <c r="A777" s="3">
        <v>146328</v>
      </c>
      <c r="B777" t="s">
        <v>1557</v>
      </c>
      <c r="C777" t="s">
        <v>19</v>
      </c>
      <c r="D777" t="s">
        <v>11</v>
      </c>
      <c r="E777" t="s">
        <v>11</v>
      </c>
      <c r="F777" t="s">
        <v>14</v>
      </c>
      <c r="G777" t="s">
        <v>11</v>
      </c>
      <c r="H777" t="s">
        <v>11</v>
      </c>
    </row>
    <row r="778" spans="1:8" x14ac:dyDescent="0.3">
      <c r="A778" s="3">
        <v>510817</v>
      </c>
      <c r="B778" t="s">
        <v>1557</v>
      </c>
      <c r="C778" t="s">
        <v>1567</v>
      </c>
      <c r="D778" t="s">
        <v>11</v>
      </c>
      <c r="E778" t="s">
        <v>31</v>
      </c>
      <c r="F778" t="s">
        <v>1568</v>
      </c>
      <c r="G778" t="s">
        <v>11</v>
      </c>
      <c r="H778" t="s">
        <v>14</v>
      </c>
    </row>
    <row r="779" spans="1:8" x14ac:dyDescent="0.3">
      <c r="A779" s="3">
        <v>559842</v>
      </c>
      <c r="B779" t="s">
        <v>1557</v>
      </c>
      <c r="C779" t="s">
        <v>1569</v>
      </c>
      <c r="D779" t="s">
        <v>11</v>
      </c>
      <c r="E779" t="s">
        <v>19</v>
      </c>
      <c r="F779" t="s">
        <v>1570</v>
      </c>
      <c r="G779" t="s">
        <v>11</v>
      </c>
      <c r="H779" t="s">
        <v>19</v>
      </c>
    </row>
    <row r="780" spans="1:8" x14ac:dyDescent="0.3">
      <c r="A780" s="3">
        <v>452676</v>
      </c>
      <c r="B780" t="s">
        <v>1557</v>
      </c>
      <c r="C780" t="s">
        <v>67</v>
      </c>
      <c r="D780" t="s">
        <v>19</v>
      </c>
      <c r="E780" t="s">
        <v>19</v>
      </c>
      <c r="F780" t="s">
        <v>250</v>
      </c>
      <c r="G780" t="s">
        <v>11</v>
      </c>
      <c r="H780" t="s">
        <v>11</v>
      </c>
    </row>
    <row r="781" spans="1:8" x14ac:dyDescent="0.3">
      <c r="A781" s="3">
        <v>168259</v>
      </c>
      <c r="B781" t="s">
        <v>1557</v>
      </c>
      <c r="C781" t="s">
        <v>1571</v>
      </c>
      <c r="D781" t="s">
        <v>11</v>
      </c>
      <c r="E781" t="s">
        <v>16</v>
      </c>
      <c r="F781" t="s">
        <v>842</v>
      </c>
      <c r="G781" t="s">
        <v>11</v>
      </c>
      <c r="H781" t="s">
        <v>14</v>
      </c>
    </row>
    <row r="782" spans="1:8" x14ac:dyDescent="0.3">
      <c r="A782" s="3">
        <v>59745</v>
      </c>
      <c r="B782" t="s">
        <v>1572</v>
      </c>
      <c r="C782" t="s">
        <v>1573</v>
      </c>
      <c r="D782" t="s">
        <v>11</v>
      </c>
      <c r="E782" t="s">
        <v>103</v>
      </c>
      <c r="F782" t="s">
        <v>786</v>
      </c>
      <c r="G782" t="s">
        <v>11</v>
      </c>
      <c r="H782" t="s">
        <v>99</v>
      </c>
    </row>
    <row r="783" spans="1:8" x14ac:dyDescent="0.3">
      <c r="A783" s="3">
        <v>809214</v>
      </c>
      <c r="B783" t="s">
        <v>1572</v>
      </c>
      <c r="C783" t="s">
        <v>830</v>
      </c>
      <c r="D783" t="s">
        <v>11</v>
      </c>
      <c r="E783" t="s">
        <v>64</v>
      </c>
      <c r="F783" t="s">
        <v>915</v>
      </c>
      <c r="G783" t="s">
        <v>11</v>
      </c>
      <c r="H783" t="s">
        <v>19</v>
      </c>
    </row>
    <row r="784" spans="1:8" x14ac:dyDescent="0.3">
      <c r="A784" s="3">
        <v>810769</v>
      </c>
      <c r="B784" t="s">
        <v>1572</v>
      </c>
      <c r="C784" t="s">
        <v>463</v>
      </c>
      <c r="D784" t="s">
        <v>19</v>
      </c>
      <c r="E784" t="s">
        <v>250</v>
      </c>
      <c r="F784" t="s">
        <v>1574</v>
      </c>
      <c r="G784" t="s">
        <v>11</v>
      </c>
      <c r="H784" t="s">
        <v>27</v>
      </c>
    </row>
    <row r="785" spans="1:8" x14ac:dyDescent="0.3">
      <c r="A785" s="3">
        <v>92679</v>
      </c>
      <c r="B785" t="s">
        <v>1572</v>
      </c>
      <c r="C785" t="s">
        <v>1575</v>
      </c>
      <c r="D785" t="s">
        <v>11</v>
      </c>
      <c r="E785" t="s">
        <v>760</v>
      </c>
      <c r="F785" t="s">
        <v>518</v>
      </c>
      <c r="G785" t="s">
        <v>11</v>
      </c>
      <c r="H785" t="s">
        <v>74</v>
      </c>
    </row>
    <row r="786" spans="1:8" x14ac:dyDescent="0.3">
      <c r="A786" s="3">
        <v>64025</v>
      </c>
      <c r="B786" t="s">
        <v>1572</v>
      </c>
      <c r="C786" t="s">
        <v>1576</v>
      </c>
      <c r="D786" t="s">
        <v>11</v>
      </c>
      <c r="E786" t="s">
        <v>16</v>
      </c>
      <c r="F786" t="s">
        <v>1577</v>
      </c>
      <c r="G786" t="s">
        <v>11</v>
      </c>
      <c r="H786" t="s">
        <v>14</v>
      </c>
    </row>
    <row r="787" spans="1:8" x14ac:dyDescent="0.3">
      <c r="A787" s="3">
        <v>486624</v>
      </c>
      <c r="B787" t="s">
        <v>1572</v>
      </c>
      <c r="C787" t="s">
        <v>1578</v>
      </c>
      <c r="D787" t="s">
        <v>11</v>
      </c>
      <c r="E787" t="s">
        <v>11</v>
      </c>
      <c r="F787" t="s">
        <v>54</v>
      </c>
      <c r="G787" t="s">
        <v>11</v>
      </c>
      <c r="H787" t="s">
        <v>11</v>
      </c>
    </row>
    <row r="788" spans="1:8" x14ac:dyDescent="0.3">
      <c r="A788" s="3">
        <v>61437</v>
      </c>
      <c r="B788" t="s">
        <v>1572</v>
      </c>
      <c r="C788" t="s">
        <v>1579</v>
      </c>
      <c r="D788" t="s">
        <v>11</v>
      </c>
      <c r="E788" t="s">
        <v>99</v>
      </c>
      <c r="F788" t="s">
        <v>739</v>
      </c>
      <c r="G788" t="s">
        <v>11</v>
      </c>
      <c r="H788" t="s">
        <v>14</v>
      </c>
    </row>
    <row r="789" spans="1:8" x14ac:dyDescent="0.3">
      <c r="A789" s="3">
        <v>397675</v>
      </c>
      <c r="B789" t="s">
        <v>1572</v>
      </c>
      <c r="C789" t="s">
        <v>1580</v>
      </c>
      <c r="D789" t="s">
        <v>11</v>
      </c>
      <c r="E789" t="s">
        <v>1581</v>
      </c>
      <c r="F789" t="s">
        <v>1582</v>
      </c>
      <c r="G789" t="s">
        <v>11</v>
      </c>
      <c r="H789" t="s">
        <v>152</v>
      </c>
    </row>
    <row r="790" spans="1:8" x14ac:dyDescent="0.3">
      <c r="A790" s="3">
        <v>148978</v>
      </c>
      <c r="B790" t="s">
        <v>1572</v>
      </c>
      <c r="C790" t="s">
        <v>1583</v>
      </c>
      <c r="D790" t="s">
        <v>19</v>
      </c>
      <c r="E790" t="s">
        <v>69</v>
      </c>
      <c r="F790" t="s">
        <v>1584</v>
      </c>
      <c r="G790" t="s">
        <v>19</v>
      </c>
      <c r="H790" t="s">
        <v>27</v>
      </c>
    </row>
    <row r="791" spans="1:8" x14ac:dyDescent="0.3">
      <c r="A791" s="3">
        <v>464085</v>
      </c>
      <c r="B791" t="s">
        <v>1585</v>
      </c>
      <c r="C791" t="s">
        <v>1586</v>
      </c>
      <c r="D791" t="s">
        <v>11</v>
      </c>
      <c r="E791" t="s">
        <v>35</v>
      </c>
      <c r="F791" t="s">
        <v>1587</v>
      </c>
      <c r="G791" t="s">
        <v>11</v>
      </c>
      <c r="H791" t="s">
        <v>19</v>
      </c>
    </row>
    <row r="792" spans="1:8" x14ac:dyDescent="0.3">
      <c r="A792" s="3">
        <v>72817</v>
      </c>
      <c r="B792" t="s">
        <v>1585</v>
      </c>
      <c r="C792" t="s">
        <v>1588</v>
      </c>
      <c r="D792" t="s">
        <v>19</v>
      </c>
      <c r="E792" t="s">
        <v>139</v>
      </c>
      <c r="F792" t="s">
        <v>192</v>
      </c>
      <c r="G792" t="s">
        <v>19</v>
      </c>
      <c r="H792" t="s">
        <v>35</v>
      </c>
    </row>
    <row r="793" spans="1:8" x14ac:dyDescent="0.3">
      <c r="A793" s="3">
        <v>79376</v>
      </c>
      <c r="B793" t="s">
        <v>1585</v>
      </c>
      <c r="C793" t="s">
        <v>1589</v>
      </c>
      <c r="D793" t="s">
        <v>11</v>
      </c>
      <c r="E793" t="s">
        <v>107</v>
      </c>
      <c r="F793" t="s">
        <v>1387</v>
      </c>
      <c r="G793" t="s">
        <v>11</v>
      </c>
      <c r="H793" t="s">
        <v>14</v>
      </c>
    </row>
    <row r="794" spans="1:8" x14ac:dyDescent="0.3">
      <c r="A794" s="3">
        <v>786712</v>
      </c>
      <c r="B794" t="s">
        <v>1585</v>
      </c>
      <c r="C794" t="s">
        <v>1590</v>
      </c>
      <c r="D794" t="s">
        <v>19</v>
      </c>
      <c r="E794" t="s">
        <v>383</v>
      </c>
      <c r="F794" t="s">
        <v>1591</v>
      </c>
      <c r="G794" t="s">
        <v>19</v>
      </c>
      <c r="H794" t="s">
        <v>37</v>
      </c>
    </row>
    <row r="795" spans="1:8" x14ac:dyDescent="0.3">
      <c r="A795" s="3">
        <v>445110</v>
      </c>
      <c r="B795" t="s">
        <v>1585</v>
      </c>
      <c r="C795" t="s">
        <v>1592</v>
      </c>
      <c r="D795" t="s">
        <v>11</v>
      </c>
      <c r="E795" t="s">
        <v>345</v>
      </c>
      <c r="F795" t="s">
        <v>1593</v>
      </c>
      <c r="G795" t="s">
        <v>11</v>
      </c>
      <c r="H795" t="s">
        <v>14</v>
      </c>
    </row>
    <row r="796" spans="1:8" x14ac:dyDescent="0.3">
      <c r="A796" s="3">
        <v>463665</v>
      </c>
      <c r="B796" t="s">
        <v>1585</v>
      </c>
      <c r="C796" t="s">
        <v>1594</v>
      </c>
      <c r="D796" t="s">
        <v>11</v>
      </c>
      <c r="E796" t="s">
        <v>139</v>
      </c>
      <c r="F796" t="s">
        <v>1595</v>
      </c>
      <c r="G796" t="s">
        <v>11</v>
      </c>
      <c r="H796" t="s">
        <v>37</v>
      </c>
    </row>
    <row r="797" spans="1:8" x14ac:dyDescent="0.3">
      <c r="A797" s="3">
        <v>155214</v>
      </c>
      <c r="B797" t="s">
        <v>1585</v>
      </c>
      <c r="C797" t="s">
        <v>1596</v>
      </c>
      <c r="D797" t="s">
        <v>11</v>
      </c>
      <c r="E797" t="s">
        <v>289</v>
      </c>
      <c r="F797" t="s">
        <v>1597</v>
      </c>
      <c r="G797" t="s">
        <v>11</v>
      </c>
      <c r="H797" t="s">
        <v>37</v>
      </c>
    </row>
    <row r="798" spans="1:8" x14ac:dyDescent="0.3">
      <c r="A798" s="3">
        <v>571844</v>
      </c>
      <c r="B798" t="s">
        <v>1585</v>
      </c>
      <c r="C798" t="s">
        <v>1598</v>
      </c>
      <c r="D798" t="s">
        <v>11</v>
      </c>
      <c r="E798" t="s">
        <v>114</v>
      </c>
      <c r="F798" t="s">
        <v>1599</v>
      </c>
      <c r="G798" t="s">
        <v>19</v>
      </c>
      <c r="H798" t="s">
        <v>37</v>
      </c>
    </row>
    <row r="799" spans="1:8" x14ac:dyDescent="0.3">
      <c r="A799" s="3">
        <v>541593</v>
      </c>
      <c r="B799" t="s">
        <v>1585</v>
      </c>
      <c r="C799" t="s">
        <v>1600</v>
      </c>
      <c r="D799" t="s">
        <v>19</v>
      </c>
      <c r="E799" t="s">
        <v>178</v>
      </c>
      <c r="F799" t="s">
        <v>1601</v>
      </c>
      <c r="G799" t="s">
        <v>19</v>
      </c>
      <c r="H799" t="s">
        <v>14</v>
      </c>
    </row>
    <row r="800" spans="1:8" x14ac:dyDescent="0.3">
      <c r="A800" s="3">
        <v>447289</v>
      </c>
      <c r="B800" t="s">
        <v>1602</v>
      </c>
      <c r="C800" t="s">
        <v>1603</v>
      </c>
      <c r="D800" t="s">
        <v>11</v>
      </c>
      <c r="E800" t="s">
        <v>336</v>
      </c>
      <c r="F800" t="s">
        <v>1604</v>
      </c>
      <c r="G800" t="s">
        <v>11</v>
      </c>
      <c r="H800" t="s">
        <v>35</v>
      </c>
    </row>
    <row r="801" spans="1:8" x14ac:dyDescent="0.3">
      <c r="A801" s="3">
        <v>441621</v>
      </c>
      <c r="B801" t="s">
        <v>1602</v>
      </c>
      <c r="C801" t="s">
        <v>1605</v>
      </c>
      <c r="D801" t="s">
        <v>11</v>
      </c>
      <c r="E801" t="s">
        <v>74</v>
      </c>
      <c r="F801" t="s">
        <v>273</v>
      </c>
      <c r="G801" t="s">
        <v>11</v>
      </c>
      <c r="H801" t="s">
        <v>19</v>
      </c>
    </row>
    <row r="802" spans="1:8" x14ac:dyDescent="0.3">
      <c r="A802" s="3">
        <v>73195</v>
      </c>
      <c r="B802" t="s">
        <v>1602</v>
      </c>
      <c r="C802" t="s">
        <v>1606</v>
      </c>
      <c r="D802" t="s">
        <v>11</v>
      </c>
      <c r="E802" t="s">
        <v>22</v>
      </c>
      <c r="F802" t="s">
        <v>1607</v>
      </c>
      <c r="G802" t="s">
        <v>11</v>
      </c>
      <c r="H802" t="s">
        <v>35</v>
      </c>
    </row>
    <row r="803" spans="1:8" x14ac:dyDescent="0.3">
      <c r="A803" s="3">
        <v>64068</v>
      </c>
      <c r="B803" t="s">
        <v>1602</v>
      </c>
      <c r="C803" t="s">
        <v>1608</v>
      </c>
      <c r="D803" t="s">
        <v>11</v>
      </c>
      <c r="E803" t="s">
        <v>178</v>
      </c>
      <c r="F803" t="s">
        <v>1609</v>
      </c>
      <c r="G803" t="s">
        <v>11</v>
      </c>
      <c r="H803" t="s">
        <v>14</v>
      </c>
    </row>
    <row r="804" spans="1:8" x14ac:dyDescent="0.3">
      <c r="A804" s="3">
        <v>66699</v>
      </c>
      <c r="B804" t="s">
        <v>1602</v>
      </c>
      <c r="C804" t="s">
        <v>1610</v>
      </c>
      <c r="D804" t="s">
        <v>11</v>
      </c>
      <c r="E804" t="s">
        <v>105</v>
      </c>
      <c r="F804" t="s">
        <v>1611</v>
      </c>
      <c r="G804" t="s">
        <v>11</v>
      </c>
      <c r="H804" t="s">
        <v>27</v>
      </c>
    </row>
    <row r="805" spans="1:8" x14ac:dyDescent="0.3">
      <c r="A805" s="3">
        <v>62578</v>
      </c>
      <c r="B805" t="s">
        <v>1602</v>
      </c>
      <c r="C805" t="s">
        <v>1612</v>
      </c>
      <c r="D805" t="s">
        <v>11</v>
      </c>
      <c r="E805" t="s">
        <v>178</v>
      </c>
      <c r="F805" t="s">
        <v>1613</v>
      </c>
      <c r="G805" t="s">
        <v>11</v>
      </c>
      <c r="H805" t="s">
        <v>19</v>
      </c>
    </row>
    <row r="806" spans="1:8" x14ac:dyDescent="0.3">
      <c r="A806" s="3">
        <v>170832</v>
      </c>
      <c r="B806" t="s">
        <v>1602</v>
      </c>
      <c r="C806" t="s">
        <v>1614</v>
      </c>
      <c r="D806" t="s">
        <v>11</v>
      </c>
      <c r="E806" t="s">
        <v>978</v>
      </c>
      <c r="F806" t="s">
        <v>1615</v>
      </c>
      <c r="G806" t="s">
        <v>11</v>
      </c>
      <c r="H806" t="s">
        <v>19</v>
      </c>
    </row>
    <row r="807" spans="1:8" x14ac:dyDescent="0.3">
      <c r="A807" s="3">
        <v>58213</v>
      </c>
      <c r="B807" t="s">
        <v>1602</v>
      </c>
      <c r="C807" t="s">
        <v>1616</v>
      </c>
      <c r="D807" t="s">
        <v>11</v>
      </c>
      <c r="E807" t="s">
        <v>130</v>
      </c>
      <c r="F807" t="s">
        <v>1617</v>
      </c>
      <c r="G807" t="s">
        <v>11</v>
      </c>
      <c r="H807" t="s">
        <v>19</v>
      </c>
    </row>
    <row r="808" spans="1:8" x14ac:dyDescent="0.3">
      <c r="A808" s="3">
        <v>553755</v>
      </c>
      <c r="B808" t="s">
        <v>1602</v>
      </c>
      <c r="C808" t="s">
        <v>1618</v>
      </c>
      <c r="D808" t="s">
        <v>11</v>
      </c>
      <c r="E808" t="s">
        <v>239</v>
      </c>
      <c r="F808" t="s">
        <v>1619</v>
      </c>
      <c r="G808" t="s">
        <v>11</v>
      </c>
      <c r="H808" t="s">
        <v>43</v>
      </c>
    </row>
    <row r="809" spans="1:8" x14ac:dyDescent="0.3">
      <c r="A809" s="3">
        <v>168688</v>
      </c>
      <c r="B809" t="s">
        <v>1620</v>
      </c>
      <c r="C809" t="s">
        <v>1621</v>
      </c>
      <c r="D809" t="s">
        <v>11</v>
      </c>
      <c r="E809" t="s">
        <v>261</v>
      </c>
      <c r="F809" t="s">
        <v>1622</v>
      </c>
      <c r="G809" t="s">
        <v>11</v>
      </c>
      <c r="H809" t="s">
        <v>35</v>
      </c>
    </row>
    <row r="810" spans="1:8" x14ac:dyDescent="0.3">
      <c r="A810" s="3">
        <v>61927</v>
      </c>
      <c r="B810" t="s">
        <v>1620</v>
      </c>
      <c r="C810" t="s">
        <v>1623</v>
      </c>
      <c r="D810" t="s">
        <v>11</v>
      </c>
      <c r="E810" t="s">
        <v>130</v>
      </c>
      <c r="F810" t="s">
        <v>1624</v>
      </c>
      <c r="G810" t="s">
        <v>11</v>
      </c>
      <c r="H810" t="s">
        <v>19</v>
      </c>
    </row>
    <row r="811" spans="1:8" x14ac:dyDescent="0.3">
      <c r="A811" s="3">
        <v>80624</v>
      </c>
      <c r="B811" t="s">
        <v>1620</v>
      </c>
      <c r="C811" t="s">
        <v>1625</v>
      </c>
      <c r="D811" t="s">
        <v>19</v>
      </c>
      <c r="E811" t="s">
        <v>107</v>
      </c>
      <c r="F811" t="s">
        <v>670</v>
      </c>
      <c r="G811" t="s">
        <v>19</v>
      </c>
      <c r="H811" t="s">
        <v>14</v>
      </c>
    </row>
    <row r="812" spans="1:8" x14ac:dyDescent="0.3">
      <c r="A812" s="3">
        <v>455415</v>
      </c>
      <c r="B812" t="s">
        <v>1620</v>
      </c>
      <c r="C812" t="s">
        <v>1626</v>
      </c>
      <c r="D812" t="s">
        <v>11</v>
      </c>
      <c r="E812" t="s">
        <v>490</v>
      </c>
      <c r="F812" t="s">
        <v>1627</v>
      </c>
      <c r="G812" t="s">
        <v>11</v>
      </c>
      <c r="H812" t="s">
        <v>35</v>
      </c>
    </row>
    <row r="813" spans="1:8" x14ac:dyDescent="0.3">
      <c r="A813" s="3">
        <v>649621</v>
      </c>
      <c r="B813" t="s">
        <v>1620</v>
      </c>
      <c r="C813" t="s">
        <v>1628</v>
      </c>
      <c r="D813" t="s">
        <v>11</v>
      </c>
      <c r="E813" t="s">
        <v>89</v>
      </c>
      <c r="F813" t="s">
        <v>1208</v>
      </c>
      <c r="G813" t="s">
        <v>11</v>
      </c>
      <c r="H813" t="s">
        <v>14</v>
      </c>
    </row>
    <row r="814" spans="1:8" x14ac:dyDescent="0.3">
      <c r="A814" s="3">
        <v>544054</v>
      </c>
      <c r="B814" t="s">
        <v>1620</v>
      </c>
      <c r="C814" t="s">
        <v>1629</v>
      </c>
      <c r="D814" t="s">
        <v>11</v>
      </c>
      <c r="E814" t="s">
        <v>14</v>
      </c>
      <c r="F814" t="s">
        <v>1630</v>
      </c>
      <c r="G814" t="s">
        <v>11</v>
      </c>
      <c r="H814" t="s">
        <v>19</v>
      </c>
    </row>
    <row r="815" spans="1:8" x14ac:dyDescent="0.3">
      <c r="A815" s="3">
        <v>167542</v>
      </c>
      <c r="B815" t="s">
        <v>1620</v>
      </c>
      <c r="C815" t="s">
        <v>1631</v>
      </c>
      <c r="D815" t="s">
        <v>11</v>
      </c>
      <c r="E815" t="s">
        <v>40</v>
      </c>
      <c r="F815" t="s">
        <v>1115</v>
      </c>
      <c r="G815" t="s">
        <v>19</v>
      </c>
      <c r="H815" t="s">
        <v>14</v>
      </c>
    </row>
    <row r="816" spans="1:8" x14ac:dyDescent="0.3">
      <c r="A816" s="3">
        <v>171308</v>
      </c>
      <c r="B816" t="s">
        <v>1620</v>
      </c>
      <c r="C816" t="s">
        <v>1632</v>
      </c>
      <c r="D816" t="s">
        <v>11</v>
      </c>
      <c r="E816" t="s">
        <v>1199</v>
      </c>
      <c r="F816" t="s">
        <v>1633</v>
      </c>
      <c r="G816" t="s">
        <v>11</v>
      </c>
      <c r="H816" t="s">
        <v>19</v>
      </c>
    </row>
    <row r="817" spans="1:8" x14ac:dyDescent="0.3">
      <c r="A817" s="3">
        <v>170200</v>
      </c>
      <c r="B817" t="s">
        <v>1620</v>
      </c>
      <c r="C817" t="s">
        <v>1634</v>
      </c>
      <c r="D817" t="s">
        <v>11</v>
      </c>
      <c r="E817" t="s">
        <v>139</v>
      </c>
      <c r="F817" t="s">
        <v>1635</v>
      </c>
      <c r="G817" t="s">
        <v>11</v>
      </c>
      <c r="H817" t="s">
        <v>27</v>
      </c>
    </row>
    <row r="818" spans="1:8" x14ac:dyDescent="0.3">
      <c r="A818" s="3">
        <v>65459</v>
      </c>
      <c r="B818" t="s">
        <v>1636</v>
      </c>
      <c r="C818" t="s">
        <v>976</v>
      </c>
      <c r="D818" t="s">
        <v>11</v>
      </c>
      <c r="E818" t="s">
        <v>78</v>
      </c>
      <c r="F818" t="s">
        <v>1637</v>
      </c>
      <c r="G818" t="s">
        <v>11</v>
      </c>
      <c r="H818" t="s">
        <v>16</v>
      </c>
    </row>
    <row r="819" spans="1:8" x14ac:dyDescent="0.3">
      <c r="A819" s="3">
        <v>445370</v>
      </c>
      <c r="B819" t="s">
        <v>1636</v>
      </c>
      <c r="C819" t="s">
        <v>1638</v>
      </c>
      <c r="D819" t="s">
        <v>11</v>
      </c>
      <c r="E819" t="s">
        <v>437</v>
      </c>
      <c r="F819" t="s">
        <v>1639</v>
      </c>
      <c r="G819" t="s">
        <v>11</v>
      </c>
      <c r="H819" t="s">
        <v>35</v>
      </c>
    </row>
    <row r="820" spans="1:8" x14ac:dyDescent="0.3">
      <c r="A820" s="3">
        <v>155308</v>
      </c>
      <c r="B820" t="s">
        <v>1636</v>
      </c>
      <c r="C820" t="s">
        <v>1640</v>
      </c>
      <c r="D820" t="s">
        <v>11</v>
      </c>
      <c r="E820" t="s">
        <v>67</v>
      </c>
      <c r="F820" t="s">
        <v>1641</v>
      </c>
      <c r="G820" t="s">
        <v>11</v>
      </c>
      <c r="H820" t="s">
        <v>74</v>
      </c>
    </row>
    <row r="821" spans="1:8" x14ac:dyDescent="0.3">
      <c r="A821" s="3">
        <v>450601</v>
      </c>
      <c r="B821" t="s">
        <v>1636</v>
      </c>
      <c r="C821" t="s">
        <v>1642</v>
      </c>
      <c r="D821" t="s">
        <v>11</v>
      </c>
      <c r="E821" t="s">
        <v>74</v>
      </c>
      <c r="F821" t="s">
        <v>1481</v>
      </c>
      <c r="G821" t="s">
        <v>11</v>
      </c>
      <c r="H821" t="s">
        <v>19</v>
      </c>
    </row>
    <row r="822" spans="1:8" x14ac:dyDescent="0.3">
      <c r="A822" s="3">
        <v>61343</v>
      </c>
      <c r="B822" t="s">
        <v>1636</v>
      </c>
      <c r="C822" t="s">
        <v>1643</v>
      </c>
      <c r="D822" t="s">
        <v>11</v>
      </c>
      <c r="E822" t="s">
        <v>46</v>
      </c>
      <c r="F822" t="s">
        <v>622</v>
      </c>
      <c r="G822" t="s">
        <v>11</v>
      </c>
      <c r="H822" t="s">
        <v>14</v>
      </c>
    </row>
    <row r="823" spans="1:8" x14ac:dyDescent="0.3">
      <c r="A823" s="3">
        <v>601544</v>
      </c>
      <c r="B823" t="s">
        <v>1636</v>
      </c>
      <c r="C823" t="s">
        <v>1644</v>
      </c>
      <c r="D823" t="s">
        <v>11</v>
      </c>
      <c r="E823" t="s">
        <v>513</v>
      </c>
      <c r="F823" t="s">
        <v>1645</v>
      </c>
      <c r="G823" t="s">
        <v>11</v>
      </c>
      <c r="H823" t="s">
        <v>31</v>
      </c>
    </row>
    <row r="824" spans="1:8" x14ac:dyDescent="0.3">
      <c r="A824" s="3">
        <v>168730</v>
      </c>
      <c r="B824" t="s">
        <v>1636</v>
      </c>
      <c r="C824" t="s">
        <v>1486</v>
      </c>
      <c r="D824" t="s">
        <v>11</v>
      </c>
      <c r="E824" t="s">
        <v>74</v>
      </c>
      <c r="F824" t="s">
        <v>1646</v>
      </c>
      <c r="G824" t="s">
        <v>11</v>
      </c>
      <c r="H824" t="s">
        <v>14</v>
      </c>
    </row>
    <row r="825" spans="1:8" x14ac:dyDescent="0.3">
      <c r="A825" s="3">
        <v>809233</v>
      </c>
      <c r="B825" t="s">
        <v>1636</v>
      </c>
      <c r="C825" t="s">
        <v>337</v>
      </c>
      <c r="D825" t="s">
        <v>11</v>
      </c>
      <c r="E825" t="s">
        <v>37</v>
      </c>
      <c r="F825" t="s">
        <v>1647</v>
      </c>
      <c r="G825" t="s">
        <v>11</v>
      </c>
      <c r="H825" t="s">
        <v>19</v>
      </c>
    </row>
    <row r="826" spans="1:8" x14ac:dyDescent="0.3">
      <c r="A826" s="3">
        <v>59439</v>
      </c>
      <c r="B826" t="s">
        <v>1636</v>
      </c>
      <c r="C826" t="s">
        <v>1648</v>
      </c>
      <c r="D826" t="s">
        <v>11</v>
      </c>
      <c r="E826" t="s">
        <v>19</v>
      </c>
      <c r="F826" t="s">
        <v>1544</v>
      </c>
      <c r="G826" t="s">
        <v>11</v>
      </c>
      <c r="H826" t="s">
        <v>11</v>
      </c>
    </row>
    <row r="827" spans="1:8" x14ac:dyDescent="0.3">
      <c r="A827" s="3">
        <v>147554</v>
      </c>
      <c r="B827" t="s">
        <v>1636</v>
      </c>
      <c r="C827" t="s">
        <v>1649</v>
      </c>
      <c r="D827" t="s">
        <v>11</v>
      </c>
      <c r="E827" t="s">
        <v>1079</v>
      </c>
      <c r="F827" t="s">
        <v>1650</v>
      </c>
      <c r="G827" t="s">
        <v>11</v>
      </c>
      <c r="H827" t="s">
        <v>152</v>
      </c>
    </row>
    <row r="828" spans="1:8" x14ac:dyDescent="0.3">
      <c r="A828" s="3">
        <v>446360</v>
      </c>
      <c r="B828" t="s">
        <v>1651</v>
      </c>
      <c r="C828" t="s">
        <v>1652</v>
      </c>
      <c r="D828" t="s">
        <v>19</v>
      </c>
      <c r="E828" t="s">
        <v>626</v>
      </c>
      <c r="F828" t="s">
        <v>1653</v>
      </c>
      <c r="G828" t="s">
        <v>19</v>
      </c>
      <c r="H828" t="s">
        <v>16</v>
      </c>
    </row>
    <row r="829" spans="1:8" x14ac:dyDescent="0.3">
      <c r="A829" s="3">
        <v>87531</v>
      </c>
      <c r="B829" t="s">
        <v>1651</v>
      </c>
      <c r="C829" t="s">
        <v>1654</v>
      </c>
      <c r="D829" t="s">
        <v>11</v>
      </c>
      <c r="E829" t="s">
        <v>261</v>
      </c>
      <c r="F829" t="s">
        <v>1655</v>
      </c>
      <c r="G829" t="s">
        <v>11</v>
      </c>
      <c r="H829" t="s">
        <v>14</v>
      </c>
    </row>
    <row r="830" spans="1:8" x14ac:dyDescent="0.3">
      <c r="A830" s="3">
        <v>461082</v>
      </c>
      <c r="B830" t="s">
        <v>1651</v>
      </c>
      <c r="C830" t="s">
        <v>1656</v>
      </c>
      <c r="D830" t="s">
        <v>11</v>
      </c>
      <c r="E830" t="s">
        <v>16</v>
      </c>
      <c r="F830" t="s">
        <v>850</v>
      </c>
      <c r="G830" t="s">
        <v>11</v>
      </c>
      <c r="H830" t="s">
        <v>19</v>
      </c>
    </row>
    <row r="831" spans="1:8" x14ac:dyDescent="0.3">
      <c r="A831" s="3">
        <v>76373</v>
      </c>
      <c r="B831" t="s">
        <v>1651</v>
      </c>
      <c r="C831" t="s">
        <v>1657</v>
      </c>
      <c r="D831" t="s">
        <v>11</v>
      </c>
      <c r="E831" t="s">
        <v>261</v>
      </c>
      <c r="F831" t="s">
        <v>1658</v>
      </c>
      <c r="G831" t="s">
        <v>11</v>
      </c>
      <c r="H831" t="s">
        <v>14</v>
      </c>
    </row>
    <row r="832" spans="1:8" x14ac:dyDescent="0.3">
      <c r="A832" s="3">
        <v>150650</v>
      </c>
      <c r="B832" t="s">
        <v>1651</v>
      </c>
      <c r="C832" t="s">
        <v>1659</v>
      </c>
      <c r="D832" t="s">
        <v>11</v>
      </c>
      <c r="E832" t="s">
        <v>221</v>
      </c>
      <c r="F832" t="s">
        <v>1660</v>
      </c>
      <c r="G832" t="s">
        <v>11</v>
      </c>
      <c r="H832" t="s">
        <v>43</v>
      </c>
    </row>
    <row r="833" spans="1:8" x14ac:dyDescent="0.3">
      <c r="A833" s="3">
        <v>62823</v>
      </c>
      <c r="B833" t="s">
        <v>1651</v>
      </c>
      <c r="C833" t="s">
        <v>1661</v>
      </c>
      <c r="D833" t="s">
        <v>11</v>
      </c>
      <c r="E833" t="s">
        <v>35</v>
      </c>
      <c r="F833" t="s">
        <v>1662</v>
      </c>
      <c r="G833" t="s">
        <v>11</v>
      </c>
      <c r="H833" t="s">
        <v>19</v>
      </c>
    </row>
    <row r="834" spans="1:8" x14ac:dyDescent="0.3">
      <c r="A834" s="3">
        <v>463670</v>
      </c>
      <c r="B834" t="s">
        <v>1651</v>
      </c>
      <c r="C834" t="s">
        <v>1663</v>
      </c>
      <c r="D834" t="s">
        <v>11</v>
      </c>
      <c r="E834" t="s">
        <v>37</v>
      </c>
      <c r="F834" t="s">
        <v>1664</v>
      </c>
      <c r="G834" t="s">
        <v>11</v>
      </c>
      <c r="H834" t="s">
        <v>19</v>
      </c>
    </row>
    <row r="835" spans="1:8" x14ac:dyDescent="0.3">
      <c r="A835" s="3">
        <v>155025</v>
      </c>
      <c r="B835" t="s">
        <v>1651</v>
      </c>
      <c r="C835" t="s">
        <v>403</v>
      </c>
      <c r="D835" t="s">
        <v>11</v>
      </c>
      <c r="E835" t="s">
        <v>19</v>
      </c>
      <c r="F835" t="s">
        <v>488</v>
      </c>
      <c r="G835" t="s">
        <v>11</v>
      </c>
      <c r="H835" t="s">
        <v>11</v>
      </c>
    </row>
    <row r="836" spans="1:8" x14ac:dyDescent="0.3">
      <c r="A836" s="3">
        <v>150527</v>
      </c>
      <c r="B836" t="s">
        <v>1651</v>
      </c>
      <c r="C836" t="s">
        <v>1665</v>
      </c>
      <c r="D836" t="s">
        <v>11</v>
      </c>
      <c r="E836" t="s">
        <v>215</v>
      </c>
      <c r="F836" t="s">
        <v>192</v>
      </c>
      <c r="G836" t="s">
        <v>11</v>
      </c>
      <c r="H836" t="s">
        <v>19</v>
      </c>
    </row>
    <row r="837" spans="1:8" x14ac:dyDescent="0.3">
      <c r="A837" s="3">
        <v>158104</v>
      </c>
      <c r="B837" t="s">
        <v>1666</v>
      </c>
      <c r="C837" t="s">
        <v>1667</v>
      </c>
      <c r="D837" t="s">
        <v>11</v>
      </c>
      <c r="E837" t="s">
        <v>1668</v>
      </c>
      <c r="F837" t="s">
        <v>1669</v>
      </c>
      <c r="G837" t="s">
        <v>11</v>
      </c>
      <c r="H837" t="s">
        <v>170</v>
      </c>
    </row>
    <row r="838" spans="1:8" x14ac:dyDescent="0.3">
      <c r="A838" s="3">
        <v>489825</v>
      </c>
      <c r="B838" t="s">
        <v>1666</v>
      </c>
      <c r="C838" t="s">
        <v>1670</v>
      </c>
      <c r="D838" t="s">
        <v>11</v>
      </c>
      <c r="E838" t="s">
        <v>74</v>
      </c>
      <c r="F838" t="s">
        <v>745</v>
      </c>
      <c r="G838" t="s">
        <v>11</v>
      </c>
      <c r="H838" t="s">
        <v>19</v>
      </c>
    </row>
    <row r="839" spans="1:8" x14ac:dyDescent="0.3">
      <c r="A839" s="3">
        <v>169391</v>
      </c>
      <c r="B839" t="s">
        <v>1666</v>
      </c>
      <c r="C839" t="s">
        <v>1671</v>
      </c>
      <c r="D839" t="s">
        <v>19</v>
      </c>
      <c r="E839" t="s">
        <v>89</v>
      </c>
      <c r="F839" t="s">
        <v>539</v>
      </c>
      <c r="G839" t="s">
        <v>19</v>
      </c>
      <c r="H839" t="s">
        <v>14</v>
      </c>
    </row>
    <row r="840" spans="1:8" x14ac:dyDescent="0.3">
      <c r="A840" s="3">
        <v>64087</v>
      </c>
      <c r="B840" t="s">
        <v>1666</v>
      </c>
      <c r="C840" t="s">
        <v>1672</v>
      </c>
      <c r="D840" t="s">
        <v>19</v>
      </c>
      <c r="E840" t="s">
        <v>14</v>
      </c>
      <c r="F840" t="s">
        <v>1673</v>
      </c>
      <c r="G840" t="s">
        <v>19</v>
      </c>
      <c r="H840" t="s">
        <v>27</v>
      </c>
    </row>
    <row r="841" spans="1:8" x14ac:dyDescent="0.3">
      <c r="A841" s="3">
        <v>91383</v>
      </c>
      <c r="B841" t="s">
        <v>1666</v>
      </c>
      <c r="C841" t="s">
        <v>1674</v>
      </c>
      <c r="D841" t="s">
        <v>11</v>
      </c>
      <c r="E841" t="s">
        <v>387</v>
      </c>
      <c r="F841" t="s">
        <v>1675</v>
      </c>
      <c r="G841" t="s">
        <v>11</v>
      </c>
      <c r="H841" t="s">
        <v>27</v>
      </c>
    </row>
    <row r="842" spans="1:8" x14ac:dyDescent="0.3">
      <c r="A842" s="3">
        <v>467847</v>
      </c>
      <c r="B842" t="s">
        <v>1666</v>
      </c>
      <c r="C842" t="s">
        <v>1676</v>
      </c>
      <c r="D842" t="s">
        <v>11</v>
      </c>
      <c r="E842" t="s">
        <v>46</v>
      </c>
      <c r="F842" t="s">
        <v>1321</v>
      </c>
      <c r="G842" t="s">
        <v>11</v>
      </c>
      <c r="H842" t="s">
        <v>19</v>
      </c>
    </row>
    <row r="843" spans="1:8" x14ac:dyDescent="0.3">
      <c r="A843" s="3">
        <v>47578</v>
      </c>
      <c r="B843" t="s">
        <v>1666</v>
      </c>
      <c r="C843" t="s">
        <v>1677</v>
      </c>
      <c r="D843" t="s">
        <v>11</v>
      </c>
      <c r="E843" t="s">
        <v>16</v>
      </c>
      <c r="F843" t="s">
        <v>776</v>
      </c>
      <c r="G843" t="s">
        <v>11</v>
      </c>
      <c r="H843" t="s">
        <v>19</v>
      </c>
    </row>
    <row r="844" spans="1:8" x14ac:dyDescent="0.3">
      <c r="A844" s="3">
        <v>58109</v>
      </c>
      <c r="B844" t="s">
        <v>1666</v>
      </c>
      <c r="C844" t="s">
        <v>1678</v>
      </c>
      <c r="D844" t="s">
        <v>11</v>
      </c>
      <c r="E844" t="s">
        <v>14</v>
      </c>
      <c r="F844" t="s">
        <v>1679</v>
      </c>
      <c r="G844" t="s">
        <v>11</v>
      </c>
      <c r="H844" t="s">
        <v>19</v>
      </c>
    </row>
    <row r="845" spans="1:8" x14ac:dyDescent="0.3">
      <c r="A845" s="3">
        <v>72271</v>
      </c>
      <c r="B845" t="s">
        <v>1666</v>
      </c>
      <c r="C845" t="s">
        <v>1680</v>
      </c>
      <c r="D845" t="s">
        <v>11</v>
      </c>
      <c r="E845" t="s">
        <v>31</v>
      </c>
      <c r="F845" t="s">
        <v>1681</v>
      </c>
      <c r="G845" t="s">
        <v>11</v>
      </c>
      <c r="H845" t="s">
        <v>19</v>
      </c>
    </row>
    <row r="846" spans="1:8" x14ac:dyDescent="0.3">
      <c r="A846" s="3">
        <v>62639</v>
      </c>
      <c r="B846" t="s">
        <v>1682</v>
      </c>
      <c r="C846" t="s">
        <v>1683</v>
      </c>
      <c r="D846" t="s">
        <v>11</v>
      </c>
      <c r="E846" t="s">
        <v>698</v>
      </c>
      <c r="F846" t="s">
        <v>1684</v>
      </c>
      <c r="G846" t="s">
        <v>11</v>
      </c>
      <c r="H846" t="s">
        <v>130</v>
      </c>
    </row>
    <row r="847" spans="1:8" x14ac:dyDescent="0.3">
      <c r="A847" s="3">
        <v>57992</v>
      </c>
      <c r="B847" t="s">
        <v>1682</v>
      </c>
      <c r="C847" t="s">
        <v>1685</v>
      </c>
      <c r="D847" t="s">
        <v>11</v>
      </c>
      <c r="E847" t="s">
        <v>27</v>
      </c>
      <c r="F847" t="s">
        <v>1686</v>
      </c>
      <c r="G847" t="s">
        <v>11</v>
      </c>
      <c r="H847" t="s">
        <v>19</v>
      </c>
    </row>
    <row r="848" spans="1:8" x14ac:dyDescent="0.3">
      <c r="A848" s="3">
        <v>168810</v>
      </c>
      <c r="B848" t="s">
        <v>1682</v>
      </c>
      <c r="C848" t="s">
        <v>1687</v>
      </c>
      <c r="D848" t="s">
        <v>11</v>
      </c>
      <c r="E848" t="s">
        <v>114</v>
      </c>
      <c r="F848" t="s">
        <v>1688</v>
      </c>
      <c r="G848" t="s">
        <v>11</v>
      </c>
      <c r="H848" t="s">
        <v>27</v>
      </c>
    </row>
    <row r="849" spans="1:8" x14ac:dyDescent="0.3">
      <c r="A849" s="3">
        <v>399896</v>
      </c>
      <c r="B849" t="s">
        <v>1682</v>
      </c>
      <c r="C849" t="s">
        <v>1689</v>
      </c>
      <c r="D849" t="s">
        <v>11</v>
      </c>
      <c r="E849" t="s">
        <v>345</v>
      </c>
      <c r="F849" t="s">
        <v>1690</v>
      </c>
      <c r="G849" t="s">
        <v>11</v>
      </c>
      <c r="H849" t="s">
        <v>130</v>
      </c>
    </row>
    <row r="850" spans="1:8" x14ac:dyDescent="0.3">
      <c r="A850" s="3">
        <v>91694</v>
      </c>
      <c r="B850" t="s">
        <v>1682</v>
      </c>
      <c r="C850" t="s">
        <v>1691</v>
      </c>
      <c r="D850" t="s">
        <v>11</v>
      </c>
      <c r="E850" t="s">
        <v>1076</v>
      </c>
      <c r="F850" t="s">
        <v>1692</v>
      </c>
      <c r="G850" t="s">
        <v>11</v>
      </c>
      <c r="H850" t="s">
        <v>99</v>
      </c>
    </row>
    <row r="851" spans="1:8" x14ac:dyDescent="0.3">
      <c r="A851" s="3">
        <v>155412</v>
      </c>
      <c r="B851" t="s">
        <v>1682</v>
      </c>
      <c r="C851" t="s">
        <v>1693</v>
      </c>
      <c r="D851" t="s">
        <v>11</v>
      </c>
      <c r="E851" t="s">
        <v>1694</v>
      </c>
      <c r="F851" t="s">
        <v>1695</v>
      </c>
      <c r="G851" t="s">
        <v>11</v>
      </c>
      <c r="H851" t="s">
        <v>14</v>
      </c>
    </row>
    <row r="852" spans="1:8" x14ac:dyDescent="0.3">
      <c r="A852" s="3">
        <v>167995</v>
      </c>
      <c r="B852" t="s">
        <v>1682</v>
      </c>
      <c r="C852" t="s">
        <v>1696</v>
      </c>
      <c r="D852" t="s">
        <v>11</v>
      </c>
      <c r="E852" t="s">
        <v>40</v>
      </c>
      <c r="F852" t="s">
        <v>1697</v>
      </c>
      <c r="G852" t="s">
        <v>11</v>
      </c>
      <c r="H852" t="s">
        <v>19</v>
      </c>
    </row>
    <row r="853" spans="1:8" x14ac:dyDescent="0.3">
      <c r="A853" s="3">
        <v>146210</v>
      </c>
      <c r="B853" t="s">
        <v>1682</v>
      </c>
      <c r="C853" t="s">
        <v>1698</v>
      </c>
      <c r="D853" t="s">
        <v>11</v>
      </c>
      <c r="E853" t="s">
        <v>316</v>
      </c>
      <c r="F853" t="s">
        <v>1699</v>
      </c>
      <c r="G853" t="s">
        <v>11</v>
      </c>
      <c r="H853" t="s">
        <v>27</v>
      </c>
    </row>
    <row r="854" spans="1:8" x14ac:dyDescent="0.3">
      <c r="A854" s="3">
        <v>533890</v>
      </c>
      <c r="B854" t="s">
        <v>1682</v>
      </c>
      <c r="C854" t="s">
        <v>1700</v>
      </c>
      <c r="D854" t="s">
        <v>11</v>
      </c>
      <c r="E854" t="s">
        <v>72</v>
      </c>
      <c r="F854" t="s">
        <v>1607</v>
      </c>
      <c r="G854" t="s">
        <v>11</v>
      </c>
      <c r="H854" t="s">
        <v>105</v>
      </c>
    </row>
    <row r="855" spans="1:8" x14ac:dyDescent="0.3">
      <c r="A855" s="3">
        <v>65421</v>
      </c>
      <c r="B855" t="s">
        <v>1701</v>
      </c>
      <c r="C855" t="s">
        <v>1702</v>
      </c>
      <c r="D855" t="s">
        <v>11</v>
      </c>
      <c r="E855" t="s">
        <v>414</v>
      </c>
      <c r="F855" t="s">
        <v>1703</v>
      </c>
      <c r="G855" t="s">
        <v>11</v>
      </c>
      <c r="H855" t="s">
        <v>64</v>
      </c>
    </row>
    <row r="856" spans="1:8" x14ac:dyDescent="0.3">
      <c r="A856" s="3">
        <v>148134</v>
      </c>
      <c r="B856" t="s">
        <v>1701</v>
      </c>
      <c r="C856" t="s">
        <v>1704</v>
      </c>
      <c r="D856" t="s">
        <v>19</v>
      </c>
      <c r="E856" t="s">
        <v>142</v>
      </c>
      <c r="F856" t="s">
        <v>1705</v>
      </c>
      <c r="G856" t="s">
        <v>19</v>
      </c>
      <c r="H856" t="s">
        <v>35</v>
      </c>
    </row>
    <row r="857" spans="1:8" x14ac:dyDescent="0.3">
      <c r="A857" s="3">
        <v>79545</v>
      </c>
      <c r="B857" t="s">
        <v>1701</v>
      </c>
      <c r="C857" t="s">
        <v>1706</v>
      </c>
      <c r="D857" t="s">
        <v>11</v>
      </c>
      <c r="E857" t="s">
        <v>14</v>
      </c>
      <c r="F857" t="s">
        <v>1707</v>
      </c>
      <c r="G857" t="s">
        <v>11</v>
      </c>
      <c r="H857" t="s">
        <v>19</v>
      </c>
    </row>
    <row r="858" spans="1:8" x14ac:dyDescent="0.3">
      <c r="A858" s="3">
        <v>459319</v>
      </c>
      <c r="B858" t="s">
        <v>1701</v>
      </c>
      <c r="C858" t="s">
        <v>1708</v>
      </c>
      <c r="D858" t="s">
        <v>11</v>
      </c>
      <c r="E858" t="s">
        <v>16</v>
      </c>
      <c r="F858" t="s">
        <v>1042</v>
      </c>
      <c r="G858" t="s">
        <v>11</v>
      </c>
      <c r="H858" t="s">
        <v>19</v>
      </c>
    </row>
    <row r="859" spans="1:8" x14ac:dyDescent="0.3">
      <c r="A859" s="3">
        <v>67547</v>
      </c>
      <c r="B859" t="s">
        <v>1701</v>
      </c>
      <c r="C859" t="s">
        <v>844</v>
      </c>
      <c r="D859" t="s">
        <v>19</v>
      </c>
      <c r="E859" t="s">
        <v>46</v>
      </c>
      <c r="F859" t="s">
        <v>1709</v>
      </c>
      <c r="G859" t="s">
        <v>19</v>
      </c>
      <c r="H859" t="s">
        <v>27</v>
      </c>
    </row>
    <row r="860" spans="1:8" x14ac:dyDescent="0.3">
      <c r="A860" s="3">
        <v>151409</v>
      </c>
      <c r="B860" t="s">
        <v>1701</v>
      </c>
      <c r="C860" t="s">
        <v>1710</v>
      </c>
      <c r="D860" t="s">
        <v>11</v>
      </c>
      <c r="E860" t="s">
        <v>49</v>
      </c>
      <c r="F860" t="s">
        <v>1711</v>
      </c>
      <c r="G860" t="s">
        <v>11</v>
      </c>
      <c r="H860" t="s">
        <v>37</v>
      </c>
    </row>
    <row r="861" spans="1:8" x14ac:dyDescent="0.3">
      <c r="A861" s="3">
        <v>155134</v>
      </c>
      <c r="B861" t="s">
        <v>1701</v>
      </c>
      <c r="C861" t="s">
        <v>1712</v>
      </c>
      <c r="D861" t="s">
        <v>11</v>
      </c>
      <c r="E861" t="s">
        <v>568</v>
      </c>
      <c r="F861" t="s">
        <v>682</v>
      </c>
      <c r="G861" t="s">
        <v>11</v>
      </c>
      <c r="H861" t="s">
        <v>37</v>
      </c>
    </row>
    <row r="862" spans="1:8" x14ac:dyDescent="0.3">
      <c r="A862" s="3">
        <v>91967</v>
      </c>
      <c r="B862" t="s">
        <v>1701</v>
      </c>
      <c r="C862" t="s">
        <v>1713</v>
      </c>
      <c r="D862" t="s">
        <v>11</v>
      </c>
      <c r="E862" t="s">
        <v>155</v>
      </c>
      <c r="F862" t="s">
        <v>1714</v>
      </c>
      <c r="G862" t="s">
        <v>11</v>
      </c>
      <c r="H862" t="s">
        <v>16</v>
      </c>
    </row>
    <row r="863" spans="1:8" x14ac:dyDescent="0.3">
      <c r="A863" s="3">
        <v>463651</v>
      </c>
      <c r="B863" t="s">
        <v>1701</v>
      </c>
      <c r="C863" t="s">
        <v>1715</v>
      </c>
      <c r="D863" t="s">
        <v>11</v>
      </c>
      <c r="E863" t="s">
        <v>1099</v>
      </c>
      <c r="F863" t="s">
        <v>1716</v>
      </c>
      <c r="G863" t="s">
        <v>11</v>
      </c>
      <c r="H863" t="s">
        <v>105</v>
      </c>
    </row>
    <row r="864" spans="1:8" x14ac:dyDescent="0.3">
      <c r="A864" s="3">
        <v>152574</v>
      </c>
      <c r="B864" t="s">
        <v>1701</v>
      </c>
      <c r="C864" t="s">
        <v>1410</v>
      </c>
      <c r="D864" t="s">
        <v>11</v>
      </c>
      <c r="E864" t="s">
        <v>35</v>
      </c>
      <c r="F864" t="s">
        <v>1717</v>
      </c>
      <c r="G864" t="s">
        <v>11</v>
      </c>
      <c r="H864" t="s">
        <v>19</v>
      </c>
    </row>
    <row r="865" spans="1:8" x14ac:dyDescent="0.3">
      <c r="A865" s="3">
        <v>49394</v>
      </c>
      <c r="B865" t="s">
        <v>1718</v>
      </c>
      <c r="C865" t="s">
        <v>1196</v>
      </c>
      <c r="D865" t="s">
        <v>11</v>
      </c>
      <c r="E865" t="s">
        <v>12</v>
      </c>
      <c r="F865" t="s">
        <v>1719</v>
      </c>
      <c r="G865" t="s">
        <v>11</v>
      </c>
      <c r="H865" t="s">
        <v>14</v>
      </c>
    </row>
    <row r="866" spans="1:8" x14ac:dyDescent="0.3">
      <c r="A866" s="3">
        <v>43330</v>
      </c>
      <c r="B866" t="s">
        <v>1718</v>
      </c>
      <c r="C866" t="s">
        <v>19</v>
      </c>
      <c r="D866" t="s">
        <v>11</v>
      </c>
      <c r="E866" t="s">
        <v>11</v>
      </c>
      <c r="F866" t="s">
        <v>37</v>
      </c>
      <c r="G866" t="s">
        <v>11</v>
      </c>
      <c r="H866" t="s">
        <v>11</v>
      </c>
    </row>
    <row r="867" spans="1:8" x14ac:dyDescent="0.3">
      <c r="A867" s="3">
        <v>72493</v>
      </c>
      <c r="B867" t="s">
        <v>1718</v>
      </c>
      <c r="C867" t="s">
        <v>1720</v>
      </c>
      <c r="D867" t="s">
        <v>11</v>
      </c>
      <c r="E867" t="s">
        <v>37</v>
      </c>
      <c r="F867" t="s">
        <v>1721</v>
      </c>
      <c r="G867" t="s">
        <v>11</v>
      </c>
      <c r="H867" t="s">
        <v>19</v>
      </c>
    </row>
    <row r="868" spans="1:8" x14ac:dyDescent="0.3">
      <c r="A868" s="3">
        <v>459282</v>
      </c>
      <c r="B868" t="s">
        <v>1718</v>
      </c>
      <c r="C868" t="s">
        <v>1722</v>
      </c>
      <c r="D868" t="s">
        <v>11</v>
      </c>
      <c r="E868" t="s">
        <v>1188</v>
      </c>
      <c r="F868" t="s">
        <v>1723</v>
      </c>
      <c r="G868" t="s">
        <v>11</v>
      </c>
      <c r="H868" t="s">
        <v>130</v>
      </c>
    </row>
    <row r="869" spans="1:8" x14ac:dyDescent="0.3">
      <c r="A869" s="3">
        <v>158123</v>
      </c>
      <c r="B869" t="s">
        <v>1718</v>
      </c>
      <c r="C869" t="s">
        <v>1724</v>
      </c>
      <c r="D869" t="s">
        <v>11</v>
      </c>
      <c r="E869" t="s">
        <v>530</v>
      </c>
      <c r="F869" t="s">
        <v>237</v>
      </c>
      <c r="G869" t="s">
        <v>11</v>
      </c>
      <c r="H869" t="s">
        <v>35</v>
      </c>
    </row>
    <row r="870" spans="1:8" x14ac:dyDescent="0.3">
      <c r="A870" s="3">
        <v>457589</v>
      </c>
      <c r="B870" t="s">
        <v>1718</v>
      </c>
      <c r="C870" t="s">
        <v>1725</v>
      </c>
      <c r="D870" t="s">
        <v>11</v>
      </c>
      <c r="E870" t="s">
        <v>345</v>
      </c>
      <c r="F870" t="s">
        <v>1726</v>
      </c>
      <c r="G870" t="s">
        <v>11</v>
      </c>
      <c r="H870" t="s">
        <v>40</v>
      </c>
    </row>
    <row r="871" spans="1:8" x14ac:dyDescent="0.3">
      <c r="A871" s="3">
        <v>61913</v>
      </c>
      <c r="B871" t="s">
        <v>1718</v>
      </c>
      <c r="C871" t="s">
        <v>1727</v>
      </c>
      <c r="D871" t="s">
        <v>11</v>
      </c>
      <c r="E871" t="s">
        <v>1132</v>
      </c>
      <c r="F871" t="s">
        <v>1728</v>
      </c>
      <c r="G871" t="s">
        <v>11</v>
      </c>
      <c r="H871" t="s">
        <v>99</v>
      </c>
    </row>
    <row r="872" spans="1:8" x14ac:dyDescent="0.3">
      <c r="A872" s="3">
        <v>567390</v>
      </c>
      <c r="B872" t="s">
        <v>1718</v>
      </c>
      <c r="C872" t="s">
        <v>1729</v>
      </c>
      <c r="D872" t="s">
        <v>11</v>
      </c>
      <c r="E872" t="s">
        <v>142</v>
      </c>
      <c r="F872" t="s">
        <v>1730</v>
      </c>
      <c r="G872" t="s">
        <v>19</v>
      </c>
      <c r="H872" t="s">
        <v>35</v>
      </c>
    </row>
    <row r="873" spans="1:8" x14ac:dyDescent="0.3">
      <c r="A873" s="3">
        <v>79442</v>
      </c>
      <c r="B873" t="s">
        <v>1718</v>
      </c>
      <c r="C873" t="s">
        <v>1731</v>
      </c>
      <c r="D873" t="s">
        <v>11</v>
      </c>
      <c r="E873" t="s">
        <v>229</v>
      </c>
      <c r="F873" t="s">
        <v>736</v>
      </c>
      <c r="G873" t="s">
        <v>11</v>
      </c>
      <c r="H873" t="s">
        <v>27</v>
      </c>
    </row>
    <row r="874" spans="1:8" x14ac:dyDescent="0.3">
      <c r="A874" s="3">
        <v>47540</v>
      </c>
      <c r="B874" t="s">
        <v>1732</v>
      </c>
      <c r="C874" t="s">
        <v>1733</v>
      </c>
      <c r="D874" t="s">
        <v>11</v>
      </c>
      <c r="E874" t="s">
        <v>27</v>
      </c>
      <c r="F874" t="s">
        <v>1007</v>
      </c>
      <c r="G874" t="s">
        <v>11</v>
      </c>
      <c r="H874" t="s">
        <v>19</v>
      </c>
    </row>
    <row r="875" spans="1:8" x14ac:dyDescent="0.3">
      <c r="A875" s="3">
        <v>65732</v>
      </c>
      <c r="B875" t="s">
        <v>1732</v>
      </c>
      <c r="C875" t="s">
        <v>1734</v>
      </c>
      <c r="D875" t="s">
        <v>19</v>
      </c>
      <c r="E875" t="s">
        <v>37</v>
      </c>
      <c r="F875" t="s">
        <v>1735</v>
      </c>
      <c r="G875" t="s">
        <v>19</v>
      </c>
      <c r="H875" t="s">
        <v>14</v>
      </c>
    </row>
    <row r="876" spans="1:8" x14ac:dyDescent="0.3">
      <c r="A876" s="3">
        <v>486431</v>
      </c>
      <c r="B876" t="s">
        <v>1732</v>
      </c>
      <c r="C876" t="s">
        <v>1736</v>
      </c>
      <c r="D876" t="s">
        <v>11</v>
      </c>
      <c r="E876" t="s">
        <v>19</v>
      </c>
      <c r="F876" t="s">
        <v>1737</v>
      </c>
      <c r="G876" t="s">
        <v>11</v>
      </c>
      <c r="H876" t="s">
        <v>19</v>
      </c>
    </row>
    <row r="877" spans="1:8" x14ac:dyDescent="0.3">
      <c r="A877" s="3">
        <v>117217</v>
      </c>
      <c r="B877" t="s">
        <v>1732</v>
      </c>
      <c r="C877" t="s">
        <v>1738</v>
      </c>
      <c r="D877" t="s">
        <v>11</v>
      </c>
      <c r="E877" t="s">
        <v>387</v>
      </c>
      <c r="F877" t="s">
        <v>403</v>
      </c>
      <c r="G877" t="s">
        <v>11</v>
      </c>
      <c r="H877" t="s">
        <v>14</v>
      </c>
    </row>
    <row r="878" spans="1:8" x14ac:dyDescent="0.3">
      <c r="A878" s="3">
        <v>44546</v>
      </c>
      <c r="B878" t="s">
        <v>1732</v>
      </c>
      <c r="C878" t="s">
        <v>1680</v>
      </c>
      <c r="D878" t="s">
        <v>11</v>
      </c>
      <c r="E878" t="s">
        <v>215</v>
      </c>
      <c r="F878" t="s">
        <v>1470</v>
      </c>
      <c r="G878" t="s">
        <v>11</v>
      </c>
      <c r="H878" t="s">
        <v>16</v>
      </c>
    </row>
    <row r="879" spans="1:8" x14ac:dyDescent="0.3">
      <c r="A879" s="3">
        <v>468173</v>
      </c>
      <c r="B879" t="s">
        <v>1732</v>
      </c>
      <c r="C879" t="s">
        <v>1739</v>
      </c>
      <c r="D879" t="s">
        <v>11</v>
      </c>
      <c r="E879" t="s">
        <v>170</v>
      </c>
      <c r="F879" t="s">
        <v>108</v>
      </c>
      <c r="G879" t="s">
        <v>11</v>
      </c>
      <c r="H879" t="s">
        <v>27</v>
      </c>
    </row>
    <row r="880" spans="1:8" x14ac:dyDescent="0.3">
      <c r="A880" s="3">
        <v>148054</v>
      </c>
      <c r="B880" t="s">
        <v>1732</v>
      </c>
      <c r="C880" t="s">
        <v>1740</v>
      </c>
      <c r="D880" t="s">
        <v>11</v>
      </c>
      <c r="E880" t="s">
        <v>27</v>
      </c>
      <c r="F880" t="s">
        <v>95</v>
      </c>
      <c r="G880" t="s">
        <v>11</v>
      </c>
      <c r="H880" t="s">
        <v>19</v>
      </c>
    </row>
    <row r="881" spans="1:8" x14ac:dyDescent="0.3">
      <c r="A881" s="3">
        <v>59806</v>
      </c>
      <c r="B881" t="s">
        <v>1732</v>
      </c>
      <c r="C881" t="s">
        <v>1741</v>
      </c>
      <c r="D881" t="s">
        <v>11</v>
      </c>
      <c r="E881" t="s">
        <v>35</v>
      </c>
      <c r="F881" t="s">
        <v>289</v>
      </c>
      <c r="G881" t="s">
        <v>11</v>
      </c>
      <c r="H881" t="s">
        <v>19</v>
      </c>
    </row>
    <row r="882" spans="1:8" x14ac:dyDescent="0.3">
      <c r="A882" s="3">
        <v>55436</v>
      </c>
      <c r="B882" t="s">
        <v>1732</v>
      </c>
      <c r="C882" t="s">
        <v>1742</v>
      </c>
      <c r="D882" t="s">
        <v>11</v>
      </c>
      <c r="E882" t="s">
        <v>105</v>
      </c>
      <c r="F882" t="s">
        <v>1479</v>
      </c>
      <c r="G882" t="s">
        <v>11</v>
      </c>
      <c r="H882" t="s">
        <v>14</v>
      </c>
    </row>
    <row r="883" spans="1:8" x14ac:dyDescent="0.3">
      <c r="A883" s="3">
        <v>443385</v>
      </c>
      <c r="B883" t="s">
        <v>1732</v>
      </c>
      <c r="C883" t="s">
        <v>1743</v>
      </c>
      <c r="D883" t="s">
        <v>11</v>
      </c>
      <c r="E883" t="s">
        <v>176</v>
      </c>
      <c r="F883" t="s">
        <v>1744</v>
      </c>
      <c r="G883" t="s">
        <v>11</v>
      </c>
      <c r="H883" t="s">
        <v>114</v>
      </c>
    </row>
    <row r="884" spans="1:8" x14ac:dyDescent="0.3">
      <c r="A884" s="3">
        <v>84354</v>
      </c>
      <c r="B884" t="s">
        <v>1745</v>
      </c>
      <c r="C884" t="s">
        <v>1746</v>
      </c>
      <c r="D884" t="s">
        <v>11</v>
      </c>
      <c r="E884" t="s">
        <v>64</v>
      </c>
      <c r="F884" t="s">
        <v>1747</v>
      </c>
      <c r="G884" t="s">
        <v>11</v>
      </c>
      <c r="H884" t="s">
        <v>19</v>
      </c>
    </row>
    <row r="885" spans="1:8" x14ac:dyDescent="0.3">
      <c r="A885" s="3">
        <v>169414</v>
      </c>
      <c r="B885" t="s">
        <v>1745</v>
      </c>
      <c r="C885" t="s">
        <v>1748</v>
      </c>
      <c r="D885" t="s">
        <v>19</v>
      </c>
      <c r="E885" t="s">
        <v>1279</v>
      </c>
      <c r="F885" t="s">
        <v>1556</v>
      </c>
      <c r="G885" t="s">
        <v>19</v>
      </c>
      <c r="H885" t="s">
        <v>99</v>
      </c>
    </row>
    <row r="886" spans="1:8" x14ac:dyDescent="0.3">
      <c r="A886" s="3">
        <v>486577</v>
      </c>
      <c r="B886" t="s">
        <v>1745</v>
      </c>
      <c r="C886" t="s">
        <v>1749</v>
      </c>
      <c r="D886" t="s">
        <v>11</v>
      </c>
      <c r="E886" t="s">
        <v>27</v>
      </c>
      <c r="F886" t="s">
        <v>1721</v>
      </c>
      <c r="G886" t="s">
        <v>11</v>
      </c>
      <c r="H886" t="s">
        <v>19</v>
      </c>
    </row>
    <row r="887" spans="1:8" x14ac:dyDescent="0.3">
      <c r="A887" s="3">
        <v>397538</v>
      </c>
      <c r="B887" t="s">
        <v>1745</v>
      </c>
      <c r="C887" t="s">
        <v>8</v>
      </c>
      <c r="D887" t="s">
        <v>8</v>
      </c>
      <c r="E887" t="s">
        <v>8</v>
      </c>
      <c r="F887" t="s">
        <v>8</v>
      </c>
      <c r="G887" t="s">
        <v>8</v>
      </c>
      <c r="H887" t="s">
        <v>8</v>
      </c>
    </row>
    <row r="888" spans="1:8" x14ac:dyDescent="0.3">
      <c r="A888" s="3">
        <v>146253</v>
      </c>
      <c r="B888" t="s">
        <v>1745</v>
      </c>
      <c r="C888" t="s">
        <v>1040</v>
      </c>
      <c r="D888" t="s">
        <v>19</v>
      </c>
      <c r="E888" t="s">
        <v>626</v>
      </c>
      <c r="F888" t="s">
        <v>182</v>
      </c>
      <c r="G888" t="s">
        <v>19</v>
      </c>
      <c r="H888" t="s">
        <v>16</v>
      </c>
    </row>
    <row r="889" spans="1:8" x14ac:dyDescent="0.3">
      <c r="A889" s="3">
        <v>76066</v>
      </c>
      <c r="B889" t="s">
        <v>1745</v>
      </c>
      <c r="C889" t="s">
        <v>1750</v>
      </c>
      <c r="D889" t="s">
        <v>11</v>
      </c>
      <c r="E889" t="s">
        <v>130</v>
      </c>
      <c r="F889" t="s">
        <v>1751</v>
      </c>
      <c r="G889" t="s">
        <v>11</v>
      </c>
      <c r="H889" t="s">
        <v>14</v>
      </c>
    </row>
    <row r="890" spans="1:8" x14ac:dyDescent="0.3">
      <c r="A890" s="3">
        <v>445695</v>
      </c>
      <c r="B890" t="s">
        <v>1745</v>
      </c>
      <c r="C890" t="s">
        <v>1752</v>
      </c>
      <c r="D890" t="s">
        <v>11</v>
      </c>
      <c r="E890" t="s">
        <v>239</v>
      </c>
      <c r="F890" t="s">
        <v>1753</v>
      </c>
      <c r="G890" t="s">
        <v>11</v>
      </c>
      <c r="H890" t="s">
        <v>37</v>
      </c>
    </row>
    <row r="891" spans="1:8" x14ac:dyDescent="0.3">
      <c r="A891" s="3">
        <v>84764</v>
      </c>
      <c r="B891" t="s">
        <v>1754</v>
      </c>
      <c r="C891" t="s">
        <v>1135</v>
      </c>
      <c r="D891" t="s">
        <v>11</v>
      </c>
      <c r="E891" t="s">
        <v>261</v>
      </c>
      <c r="F891" t="s">
        <v>1755</v>
      </c>
      <c r="G891" t="s">
        <v>11</v>
      </c>
      <c r="H891" t="s">
        <v>14</v>
      </c>
    </row>
    <row r="892" spans="1:8" x14ac:dyDescent="0.3">
      <c r="A892" s="3">
        <v>452172</v>
      </c>
      <c r="B892" t="s">
        <v>1754</v>
      </c>
      <c r="C892" t="s">
        <v>1756</v>
      </c>
      <c r="D892" t="s">
        <v>11</v>
      </c>
      <c r="E892" t="s">
        <v>35</v>
      </c>
      <c r="F892" t="s">
        <v>84</v>
      </c>
      <c r="G892" t="s">
        <v>11</v>
      </c>
      <c r="H892" t="s">
        <v>14</v>
      </c>
    </row>
    <row r="893" spans="1:8" x14ac:dyDescent="0.3">
      <c r="A893" s="3">
        <v>59811</v>
      </c>
      <c r="B893" t="s">
        <v>1754</v>
      </c>
      <c r="C893" t="s">
        <v>1757</v>
      </c>
      <c r="D893" t="s">
        <v>19</v>
      </c>
      <c r="E893" t="s">
        <v>16</v>
      </c>
      <c r="F893" t="s">
        <v>1758</v>
      </c>
      <c r="G893" t="s">
        <v>19</v>
      </c>
      <c r="H893" t="s">
        <v>14</v>
      </c>
    </row>
    <row r="894" spans="1:8" x14ac:dyDescent="0.3">
      <c r="A894" s="3">
        <v>70960</v>
      </c>
      <c r="B894" t="s">
        <v>1754</v>
      </c>
      <c r="C894" t="s">
        <v>1759</v>
      </c>
      <c r="D894" t="s">
        <v>19</v>
      </c>
      <c r="E894" t="s">
        <v>776</v>
      </c>
      <c r="F894" t="s">
        <v>1760</v>
      </c>
      <c r="G894" t="s">
        <v>19</v>
      </c>
      <c r="H894" t="s">
        <v>46</v>
      </c>
    </row>
    <row r="895" spans="1:8" x14ac:dyDescent="0.3">
      <c r="A895" s="3">
        <v>488086</v>
      </c>
      <c r="B895" t="s">
        <v>1754</v>
      </c>
      <c r="C895" t="s">
        <v>1761</v>
      </c>
      <c r="D895" t="s">
        <v>11</v>
      </c>
      <c r="E895" t="s">
        <v>152</v>
      </c>
      <c r="F895" t="s">
        <v>1762</v>
      </c>
      <c r="G895" t="s">
        <v>11</v>
      </c>
      <c r="H895" t="s">
        <v>14</v>
      </c>
    </row>
    <row r="896" spans="1:8" x14ac:dyDescent="0.3">
      <c r="A896" s="3">
        <v>443516</v>
      </c>
      <c r="B896" t="s">
        <v>1754</v>
      </c>
      <c r="C896" t="s">
        <v>480</v>
      </c>
      <c r="D896" t="s">
        <v>11</v>
      </c>
      <c r="E896" t="s">
        <v>37</v>
      </c>
      <c r="F896" t="s">
        <v>1763</v>
      </c>
      <c r="G896" t="s">
        <v>11</v>
      </c>
      <c r="H896" t="s">
        <v>19</v>
      </c>
    </row>
    <row r="897" spans="1:8" x14ac:dyDescent="0.3">
      <c r="A897" s="3">
        <v>463811</v>
      </c>
      <c r="B897" t="s">
        <v>1754</v>
      </c>
      <c r="C897" t="s">
        <v>1764</v>
      </c>
      <c r="D897" t="s">
        <v>11</v>
      </c>
      <c r="E897" t="s">
        <v>19</v>
      </c>
      <c r="F897" t="s">
        <v>329</v>
      </c>
      <c r="G897" t="s">
        <v>11</v>
      </c>
      <c r="H897" t="s">
        <v>11</v>
      </c>
    </row>
    <row r="898" spans="1:8" x14ac:dyDescent="0.3">
      <c r="A898" s="3">
        <v>462618</v>
      </c>
      <c r="B898" t="s">
        <v>1754</v>
      </c>
      <c r="C898" t="s">
        <v>1765</v>
      </c>
      <c r="D898" t="s">
        <v>11</v>
      </c>
      <c r="E898" t="s">
        <v>1148</v>
      </c>
      <c r="F898" t="s">
        <v>1582</v>
      </c>
      <c r="G898" t="s">
        <v>11</v>
      </c>
      <c r="H898" t="s">
        <v>69</v>
      </c>
    </row>
    <row r="899" spans="1:8" x14ac:dyDescent="0.3">
      <c r="A899" s="3">
        <v>151843</v>
      </c>
      <c r="B899" t="s">
        <v>1754</v>
      </c>
      <c r="C899" t="s">
        <v>1766</v>
      </c>
      <c r="D899" t="s">
        <v>19</v>
      </c>
      <c r="E899" t="s">
        <v>107</v>
      </c>
      <c r="F899" t="s">
        <v>1767</v>
      </c>
      <c r="G899" t="s">
        <v>19</v>
      </c>
      <c r="H899" t="s">
        <v>14</v>
      </c>
    </row>
    <row r="900" spans="1:8" x14ac:dyDescent="0.3">
      <c r="A900" s="3">
        <v>55573</v>
      </c>
      <c r="B900" t="s">
        <v>1768</v>
      </c>
      <c r="C900" t="s">
        <v>1769</v>
      </c>
      <c r="D900" t="s">
        <v>11</v>
      </c>
      <c r="E900" t="s">
        <v>19</v>
      </c>
      <c r="F900" t="s">
        <v>837</v>
      </c>
      <c r="G900" t="s">
        <v>11</v>
      </c>
      <c r="H900" t="s">
        <v>11</v>
      </c>
    </row>
    <row r="901" spans="1:8" x14ac:dyDescent="0.3">
      <c r="A901" s="3">
        <v>457829</v>
      </c>
      <c r="B901" t="s">
        <v>1768</v>
      </c>
      <c r="C901" t="s">
        <v>673</v>
      </c>
      <c r="D901" t="s">
        <v>11</v>
      </c>
      <c r="E901" t="s">
        <v>14</v>
      </c>
      <c r="F901" t="s">
        <v>1770</v>
      </c>
      <c r="G901" t="s">
        <v>11</v>
      </c>
      <c r="H901" t="s">
        <v>19</v>
      </c>
    </row>
    <row r="902" spans="1:8" x14ac:dyDescent="0.3">
      <c r="A902" s="3">
        <v>462294</v>
      </c>
      <c r="B902" t="s">
        <v>1768</v>
      </c>
      <c r="C902" t="s">
        <v>1771</v>
      </c>
      <c r="D902" t="s">
        <v>19</v>
      </c>
      <c r="E902" t="s">
        <v>105</v>
      </c>
      <c r="F902" t="s">
        <v>1772</v>
      </c>
      <c r="G902" t="s">
        <v>19</v>
      </c>
      <c r="H902" t="s">
        <v>27</v>
      </c>
    </row>
    <row r="903" spans="1:8" x14ac:dyDescent="0.3">
      <c r="A903" s="3">
        <v>571245</v>
      </c>
      <c r="B903" t="s">
        <v>1768</v>
      </c>
      <c r="C903" t="s">
        <v>1773</v>
      </c>
      <c r="D903" t="s">
        <v>11</v>
      </c>
      <c r="E903" t="s">
        <v>229</v>
      </c>
      <c r="F903" t="s">
        <v>1537</v>
      </c>
      <c r="G903" t="s">
        <v>11</v>
      </c>
      <c r="H903" t="s">
        <v>14</v>
      </c>
    </row>
    <row r="904" spans="1:8" x14ac:dyDescent="0.3">
      <c r="A904" s="3">
        <v>859077</v>
      </c>
      <c r="B904" t="s">
        <v>1768</v>
      </c>
      <c r="C904" t="s">
        <v>1774</v>
      </c>
      <c r="D904" t="s">
        <v>11</v>
      </c>
      <c r="E904" t="s">
        <v>316</v>
      </c>
      <c r="F904" t="s">
        <v>493</v>
      </c>
      <c r="G904" t="s">
        <v>11</v>
      </c>
      <c r="H904" t="s">
        <v>37</v>
      </c>
    </row>
    <row r="905" spans="1:8" x14ac:dyDescent="0.3">
      <c r="A905" s="3">
        <v>167976</v>
      </c>
      <c r="B905" t="s">
        <v>1768</v>
      </c>
      <c r="C905" t="s">
        <v>1775</v>
      </c>
      <c r="D905" t="s">
        <v>11</v>
      </c>
      <c r="E905" t="s">
        <v>698</v>
      </c>
      <c r="F905" t="s">
        <v>1776</v>
      </c>
      <c r="G905" t="s">
        <v>11</v>
      </c>
      <c r="H905" t="s">
        <v>64</v>
      </c>
    </row>
    <row r="906" spans="1:8" x14ac:dyDescent="0.3">
      <c r="A906" s="3">
        <v>541994</v>
      </c>
      <c r="B906" t="s">
        <v>1768</v>
      </c>
      <c r="C906" t="s">
        <v>1777</v>
      </c>
      <c r="D906" t="s">
        <v>11</v>
      </c>
      <c r="E906" t="s">
        <v>379</v>
      </c>
      <c r="F906" t="s">
        <v>1778</v>
      </c>
      <c r="G906" t="s">
        <v>11</v>
      </c>
      <c r="H906" t="s">
        <v>387</v>
      </c>
    </row>
    <row r="907" spans="1:8" x14ac:dyDescent="0.3">
      <c r="A907" s="3">
        <v>71554</v>
      </c>
      <c r="B907" t="s">
        <v>1768</v>
      </c>
      <c r="C907" t="s">
        <v>1779</v>
      </c>
      <c r="D907" t="s">
        <v>11</v>
      </c>
      <c r="E907" t="s">
        <v>139</v>
      </c>
      <c r="F907" t="s">
        <v>1047</v>
      </c>
      <c r="G907" t="s">
        <v>11</v>
      </c>
      <c r="H907" t="s">
        <v>27</v>
      </c>
    </row>
    <row r="908" spans="1:8" x14ac:dyDescent="0.3">
      <c r="A908" s="3">
        <v>467772</v>
      </c>
      <c r="B908" t="s">
        <v>1768</v>
      </c>
      <c r="C908" t="s">
        <v>704</v>
      </c>
      <c r="D908" t="s">
        <v>11</v>
      </c>
      <c r="E908" t="s">
        <v>152</v>
      </c>
      <c r="F908" t="s">
        <v>1060</v>
      </c>
      <c r="G908" t="s">
        <v>11</v>
      </c>
      <c r="H908" t="s">
        <v>14</v>
      </c>
    </row>
    <row r="909" spans="1:8" x14ac:dyDescent="0.3">
      <c r="A909" s="3">
        <v>60414</v>
      </c>
      <c r="B909" t="s">
        <v>1780</v>
      </c>
      <c r="C909" t="s">
        <v>716</v>
      </c>
      <c r="D909" t="s">
        <v>19</v>
      </c>
      <c r="E909" t="s">
        <v>130</v>
      </c>
      <c r="F909" t="s">
        <v>44</v>
      </c>
      <c r="G909" t="s">
        <v>19</v>
      </c>
      <c r="H909" t="s">
        <v>19</v>
      </c>
    </row>
    <row r="910" spans="1:8" x14ac:dyDescent="0.3">
      <c r="A910" s="3">
        <v>87507</v>
      </c>
      <c r="B910" t="s">
        <v>1780</v>
      </c>
      <c r="C910" t="s">
        <v>1781</v>
      </c>
      <c r="D910" t="s">
        <v>11</v>
      </c>
      <c r="E910" t="s">
        <v>472</v>
      </c>
      <c r="F910" t="s">
        <v>192</v>
      </c>
      <c r="G910" t="s">
        <v>11</v>
      </c>
      <c r="H910" t="s">
        <v>35</v>
      </c>
    </row>
    <row r="911" spans="1:8" x14ac:dyDescent="0.3">
      <c r="A911" s="3">
        <v>441452</v>
      </c>
      <c r="B911" t="s">
        <v>1780</v>
      </c>
      <c r="C911" t="s">
        <v>1782</v>
      </c>
      <c r="D911" t="s">
        <v>19</v>
      </c>
      <c r="E911" t="s">
        <v>329</v>
      </c>
      <c r="F911" t="s">
        <v>1466</v>
      </c>
      <c r="G911" t="s">
        <v>19</v>
      </c>
      <c r="H911" t="s">
        <v>16</v>
      </c>
    </row>
    <row r="912" spans="1:8" x14ac:dyDescent="0.3">
      <c r="A912" s="3">
        <v>463439</v>
      </c>
      <c r="B912" t="s">
        <v>1780</v>
      </c>
      <c r="C912" t="s">
        <v>1783</v>
      </c>
      <c r="D912" t="s">
        <v>11</v>
      </c>
      <c r="E912" t="s">
        <v>336</v>
      </c>
      <c r="F912" t="s">
        <v>317</v>
      </c>
      <c r="G912" t="s">
        <v>11</v>
      </c>
      <c r="H912" t="s">
        <v>27</v>
      </c>
    </row>
    <row r="913" spans="1:8" x14ac:dyDescent="0.3">
      <c r="A913" s="3">
        <v>65666</v>
      </c>
      <c r="B913" t="s">
        <v>1780</v>
      </c>
      <c r="C913" t="s">
        <v>1784</v>
      </c>
      <c r="D913" t="s">
        <v>19</v>
      </c>
      <c r="E913" t="s">
        <v>27</v>
      </c>
      <c r="F913" t="s">
        <v>1785</v>
      </c>
      <c r="G913" t="s">
        <v>19</v>
      </c>
      <c r="H913" t="s">
        <v>19</v>
      </c>
    </row>
    <row r="914" spans="1:8" x14ac:dyDescent="0.3">
      <c r="A914" s="3">
        <v>64233</v>
      </c>
      <c r="B914" t="s">
        <v>1780</v>
      </c>
      <c r="C914" t="s">
        <v>1786</v>
      </c>
      <c r="D914" t="s">
        <v>11</v>
      </c>
      <c r="E914" t="s">
        <v>383</v>
      </c>
      <c r="F914" t="s">
        <v>1787</v>
      </c>
      <c r="G914" t="s">
        <v>11</v>
      </c>
      <c r="H914" t="s">
        <v>64</v>
      </c>
    </row>
    <row r="915" spans="1:8" x14ac:dyDescent="0.3">
      <c r="A915" s="3">
        <v>62880</v>
      </c>
      <c r="B915" t="s">
        <v>1780</v>
      </c>
      <c r="C915" t="s">
        <v>1788</v>
      </c>
      <c r="D915" t="s">
        <v>11</v>
      </c>
      <c r="E915" t="s">
        <v>64</v>
      </c>
      <c r="F915" t="s">
        <v>1789</v>
      </c>
      <c r="G915" t="s">
        <v>11</v>
      </c>
      <c r="H915" t="s">
        <v>19</v>
      </c>
    </row>
    <row r="916" spans="1:8" x14ac:dyDescent="0.3">
      <c r="A916" s="3">
        <v>463854</v>
      </c>
      <c r="B916" t="s">
        <v>1780</v>
      </c>
      <c r="C916" t="s">
        <v>1790</v>
      </c>
      <c r="D916" t="s">
        <v>11</v>
      </c>
      <c r="E916" t="s">
        <v>336</v>
      </c>
      <c r="F916" t="s">
        <v>1791</v>
      </c>
      <c r="G916" t="s">
        <v>11</v>
      </c>
      <c r="H916" t="s">
        <v>27</v>
      </c>
    </row>
    <row r="917" spans="1:8" x14ac:dyDescent="0.3">
      <c r="A917" s="3">
        <v>520147</v>
      </c>
      <c r="B917" t="s">
        <v>1780</v>
      </c>
      <c r="C917" t="s">
        <v>318</v>
      </c>
      <c r="D917" t="s">
        <v>19</v>
      </c>
      <c r="E917" t="s">
        <v>321</v>
      </c>
      <c r="F917" t="s">
        <v>1792</v>
      </c>
      <c r="G917" t="s">
        <v>19</v>
      </c>
      <c r="H917" t="s">
        <v>99</v>
      </c>
    </row>
    <row r="918" spans="1:8" x14ac:dyDescent="0.3">
      <c r="A918" s="3">
        <v>562217</v>
      </c>
      <c r="B918" t="s">
        <v>1780</v>
      </c>
      <c r="C918" t="s">
        <v>1793</v>
      </c>
      <c r="D918" t="s">
        <v>19</v>
      </c>
      <c r="E918" t="s">
        <v>422</v>
      </c>
      <c r="F918" t="s">
        <v>1794</v>
      </c>
      <c r="G918" t="s">
        <v>19</v>
      </c>
      <c r="H918" t="s">
        <v>99</v>
      </c>
    </row>
    <row r="919" spans="1:8" x14ac:dyDescent="0.3">
      <c r="A919" s="3">
        <v>52447</v>
      </c>
      <c r="B919" t="s">
        <v>1795</v>
      </c>
      <c r="C919" t="s">
        <v>1796</v>
      </c>
      <c r="D919" t="s">
        <v>11</v>
      </c>
      <c r="E919" t="s">
        <v>74</v>
      </c>
      <c r="F919" t="s">
        <v>1797</v>
      </c>
      <c r="G919" t="s">
        <v>11</v>
      </c>
      <c r="H919" t="s">
        <v>19</v>
      </c>
    </row>
    <row r="920" spans="1:8" x14ac:dyDescent="0.3">
      <c r="A920" s="3">
        <v>170304</v>
      </c>
      <c r="B920" t="s">
        <v>1795</v>
      </c>
      <c r="C920" t="s">
        <v>1798</v>
      </c>
      <c r="D920" t="s">
        <v>11</v>
      </c>
      <c r="E920" t="s">
        <v>250</v>
      </c>
      <c r="F920" t="s">
        <v>975</v>
      </c>
      <c r="G920" t="s">
        <v>11</v>
      </c>
      <c r="H920" t="s">
        <v>14</v>
      </c>
    </row>
    <row r="921" spans="1:8" x14ac:dyDescent="0.3">
      <c r="A921" s="3">
        <v>156685</v>
      </c>
      <c r="B921" t="s">
        <v>1795</v>
      </c>
      <c r="C921" t="s">
        <v>1799</v>
      </c>
      <c r="D921" t="s">
        <v>11</v>
      </c>
      <c r="E921" t="s">
        <v>247</v>
      </c>
      <c r="F921" t="s">
        <v>1800</v>
      </c>
      <c r="G921" t="s">
        <v>11</v>
      </c>
      <c r="H921" t="s">
        <v>37</v>
      </c>
    </row>
    <row r="922" spans="1:8" x14ac:dyDescent="0.3">
      <c r="A922" s="3">
        <v>65586</v>
      </c>
      <c r="B922" t="s">
        <v>1795</v>
      </c>
      <c r="C922" t="s">
        <v>1801</v>
      </c>
      <c r="D922" t="s">
        <v>11</v>
      </c>
      <c r="E922" t="s">
        <v>336</v>
      </c>
      <c r="F922" t="s">
        <v>1802</v>
      </c>
      <c r="G922" t="s">
        <v>11</v>
      </c>
      <c r="H922" t="s">
        <v>27</v>
      </c>
    </row>
    <row r="923" spans="1:8" x14ac:dyDescent="0.3">
      <c r="A923" s="3">
        <v>445327</v>
      </c>
      <c r="B923" t="s">
        <v>1795</v>
      </c>
      <c r="C923" t="s">
        <v>731</v>
      </c>
      <c r="D923" t="s">
        <v>11</v>
      </c>
      <c r="E923" t="s">
        <v>178</v>
      </c>
      <c r="F923" t="s">
        <v>1803</v>
      </c>
      <c r="G923" t="s">
        <v>11</v>
      </c>
      <c r="H923" t="s">
        <v>14</v>
      </c>
    </row>
    <row r="924" spans="1:8" x14ac:dyDescent="0.3">
      <c r="A924" s="3">
        <v>76472</v>
      </c>
      <c r="B924" t="s">
        <v>1795</v>
      </c>
      <c r="C924" t="s">
        <v>1804</v>
      </c>
      <c r="D924" t="s">
        <v>11</v>
      </c>
      <c r="E924" t="s">
        <v>1805</v>
      </c>
      <c r="F924" t="s">
        <v>1806</v>
      </c>
      <c r="G924" t="s">
        <v>11</v>
      </c>
      <c r="H924" t="s">
        <v>99</v>
      </c>
    </row>
    <row r="925" spans="1:8" x14ac:dyDescent="0.3">
      <c r="A925" s="3">
        <v>450917</v>
      </c>
      <c r="B925" t="s">
        <v>1795</v>
      </c>
      <c r="C925" t="s">
        <v>1807</v>
      </c>
      <c r="D925" t="s">
        <v>11</v>
      </c>
      <c r="E925" t="s">
        <v>27</v>
      </c>
      <c r="F925" t="s">
        <v>1645</v>
      </c>
      <c r="G925" t="s">
        <v>11</v>
      </c>
      <c r="H925" t="s">
        <v>37</v>
      </c>
    </row>
    <row r="926" spans="1:8" x14ac:dyDescent="0.3">
      <c r="A926" s="3">
        <v>444912</v>
      </c>
      <c r="B926" t="s">
        <v>1795</v>
      </c>
      <c r="C926" t="s">
        <v>1808</v>
      </c>
      <c r="D926" t="s">
        <v>11</v>
      </c>
      <c r="E926" t="s">
        <v>1809</v>
      </c>
      <c r="F926" t="s">
        <v>1039</v>
      </c>
      <c r="G926" t="s">
        <v>11</v>
      </c>
      <c r="H926" t="s">
        <v>383</v>
      </c>
    </row>
    <row r="927" spans="1:8" x14ac:dyDescent="0.3">
      <c r="A927" s="3">
        <v>619092</v>
      </c>
      <c r="B927" t="s">
        <v>1810</v>
      </c>
      <c r="C927" t="s">
        <v>1811</v>
      </c>
      <c r="D927" t="s">
        <v>11</v>
      </c>
      <c r="E927" t="s">
        <v>35</v>
      </c>
      <c r="F927" t="s">
        <v>1812</v>
      </c>
      <c r="G927" t="s">
        <v>11</v>
      </c>
      <c r="H927" t="s">
        <v>27</v>
      </c>
    </row>
    <row r="928" spans="1:8" x14ac:dyDescent="0.3">
      <c r="A928" s="3">
        <v>461888</v>
      </c>
      <c r="B928" t="s">
        <v>1810</v>
      </c>
      <c r="C928" t="s">
        <v>1813</v>
      </c>
      <c r="D928" t="s">
        <v>11</v>
      </c>
      <c r="E928" t="s">
        <v>22</v>
      </c>
      <c r="F928" t="s">
        <v>1814</v>
      </c>
      <c r="G928" t="s">
        <v>11</v>
      </c>
      <c r="H928" t="s">
        <v>14</v>
      </c>
    </row>
    <row r="929" spans="1:8" x14ac:dyDescent="0.3">
      <c r="A929" s="3">
        <v>441287</v>
      </c>
      <c r="B929" t="s">
        <v>1810</v>
      </c>
      <c r="C929" t="s">
        <v>846</v>
      </c>
      <c r="D929" t="s">
        <v>11</v>
      </c>
      <c r="E929" t="s">
        <v>114</v>
      </c>
      <c r="F929" t="s">
        <v>1815</v>
      </c>
      <c r="G929" t="s">
        <v>11</v>
      </c>
      <c r="H929" t="s">
        <v>35</v>
      </c>
    </row>
    <row r="930" spans="1:8" x14ac:dyDescent="0.3">
      <c r="A930" s="3">
        <v>170549</v>
      </c>
      <c r="B930" t="s">
        <v>1810</v>
      </c>
      <c r="C930" t="s">
        <v>1816</v>
      </c>
      <c r="D930" t="s">
        <v>19</v>
      </c>
      <c r="E930" t="s">
        <v>35</v>
      </c>
      <c r="F930" t="s">
        <v>1817</v>
      </c>
      <c r="G930" t="s">
        <v>19</v>
      </c>
      <c r="H930" t="s">
        <v>19</v>
      </c>
    </row>
    <row r="931" spans="1:8" x14ac:dyDescent="0.3">
      <c r="A931" s="3">
        <v>61277</v>
      </c>
      <c r="B931" t="s">
        <v>1810</v>
      </c>
      <c r="C931" t="s">
        <v>1818</v>
      </c>
      <c r="D931" t="s">
        <v>11</v>
      </c>
      <c r="E931" t="s">
        <v>1721</v>
      </c>
      <c r="F931" t="s">
        <v>1819</v>
      </c>
      <c r="G931" t="s">
        <v>11</v>
      </c>
      <c r="H931" t="s">
        <v>43</v>
      </c>
    </row>
    <row r="932" spans="1:8" x14ac:dyDescent="0.3">
      <c r="A932" s="3">
        <v>264581</v>
      </c>
      <c r="B932" t="s">
        <v>1810</v>
      </c>
      <c r="C932" t="s">
        <v>1820</v>
      </c>
      <c r="D932" t="s">
        <v>11</v>
      </c>
      <c r="E932" t="s">
        <v>1821</v>
      </c>
      <c r="F932" t="s">
        <v>1822</v>
      </c>
      <c r="G932" t="s">
        <v>11</v>
      </c>
      <c r="H932" t="s">
        <v>114</v>
      </c>
    </row>
    <row r="933" spans="1:8" x14ac:dyDescent="0.3">
      <c r="A933" s="3">
        <v>148412</v>
      </c>
      <c r="B933" t="s">
        <v>1810</v>
      </c>
      <c r="C933" t="s">
        <v>1823</v>
      </c>
      <c r="D933" t="s">
        <v>11</v>
      </c>
      <c r="E933" t="s">
        <v>130</v>
      </c>
      <c r="F933" t="s">
        <v>1824</v>
      </c>
      <c r="G933" t="s">
        <v>11</v>
      </c>
      <c r="H933" t="s">
        <v>14</v>
      </c>
    </row>
    <row r="934" spans="1:8" x14ac:dyDescent="0.3">
      <c r="A934" s="3">
        <v>159212</v>
      </c>
      <c r="B934" t="s">
        <v>1810</v>
      </c>
      <c r="C934" t="s">
        <v>1825</v>
      </c>
      <c r="D934" t="s">
        <v>11</v>
      </c>
      <c r="E934" t="s">
        <v>64</v>
      </c>
      <c r="F934" t="s">
        <v>1826</v>
      </c>
      <c r="G934" t="s">
        <v>11</v>
      </c>
      <c r="H934" t="s">
        <v>14</v>
      </c>
    </row>
    <row r="935" spans="1:8" x14ac:dyDescent="0.3">
      <c r="A935" s="3">
        <v>465645</v>
      </c>
      <c r="B935" t="s">
        <v>1810</v>
      </c>
      <c r="C935" t="s">
        <v>1827</v>
      </c>
      <c r="D935" t="s">
        <v>11</v>
      </c>
      <c r="E935" t="s">
        <v>345</v>
      </c>
      <c r="F935" t="s">
        <v>339</v>
      </c>
      <c r="G935" t="s">
        <v>11</v>
      </c>
      <c r="H935" t="s">
        <v>16</v>
      </c>
    </row>
    <row r="936" spans="1:8" x14ac:dyDescent="0.3">
      <c r="A936" s="3">
        <v>457551</v>
      </c>
      <c r="B936" t="s">
        <v>1828</v>
      </c>
      <c r="C936" t="s">
        <v>1829</v>
      </c>
      <c r="D936" t="s">
        <v>11</v>
      </c>
      <c r="E936" t="s">
        <v>97</v>
      </c>
      <c r="F936" t="s">
        <v>1237</v>
      </c>
      <c r="G936" t="s">
        <v>11</v>
      </c>
      <c r="H936" t="s">
        <v>387</v>
      </c>
    </row>
    <row r="937" spans="1:8" x14ac:dyDescent="0.3">
      <c r="A937" s="3">
        <v>63587</v>
      </c>
      <c r="B937" t="s">
        <v>1828</v>
      </c>
      <c r="C937" t="s">
        <v>1830</v>
      </c>
      <c r="D937" t="s">
        <v>11</v>
      </c>
      <c r="E937" t="s">
        <v>37</v>
      </c>
      <c r="F937" t="s">
        <v>516</v>
      </c>
      <c r="G937" t="s">
        <v>11</v>
      </c>
      <c r="H937" t="s">
        <v>19</v>
      </c>
    </row>
    <row r="938" spans="1:8" x14ac:dyDescent="0.3">
      <c r="A938" s="3">
        <v>452742</v>
      </c>
      <c r="B938" t="s">
        <v>1828</v>
      </c>
      <c r="C938" t="s">
        <v>1831</v>
      </c>
      <c r="D938" t="s">
        <v>11</v>
      </c>
      <c r="E938" t="s">
        <v>89</v>
      </c>
      <c r="F938" t="s">
        <v>1832</v>
      </c>
      <c r="G938" t="s">
        <v>11</v>
      </c>
      <c r="H938" t="s">
        <v>14</v>
      </c>
    </row>
    <row r="939" spans="1:8" x14ac:dyDescent="0.3">
      <c r="A939" s="3">
        <v>47682</v>
      </c>
      <c r="B939" t="s">
        <v>1828</v>
      </c>
      <c r="C939" t="s">
        <v>1833</v>
      </c>
      <c r="D939" t="s">
        <v>11</v>
      </c>
      <c r="E939" t="s">
        <v>19</v>
      </c>
      <c r="F939" t="s">
        <v>358</v>
      </c>
      <c r="G939" t="s">
        <v>11</v>
      </c>
      <c r="H939" t="s">
        <v>19</v>
      </c>
    </row>
    <row r="940" spans="1:8" x14ac:dyDescent="0.3">
      <c r="A940" s="3">
        <v>599843</v>
      </c>
      <c r="B940" t="s">
        <v>1828</v>
      </c>
      <c r="C940" t="s">
        <v>1834</v>
      </c>
      <c r="D940" t="s">
        <v>11</v>
      </c>
      <c r="E940" t="s">
        <v>1835</v>
      </c>
      <c r="F940" t="s">
        <v>703</v>
      </c>
      <c r="G940" t="s">
        <v>11</v>
      </c>
      <c r="H940" t="s">
        <v>35</v>
      </c>
    </row>
    <row r="941" spans="1:8" x14ac:dyDescent="0.3">
      <c r="A941" s="3">
        <v>459178</v>
      </c>
      <c r="B941" t="s">
        <v>1828</v>
      </c>
      <c r="C941" t="s">
        <v>1836</v>
      </c>
      <c r="D941" t="s">
        <v>11</v>
      </c>
      <c r="E941" t="s">
        <v>226</v>
      </c>
      <c r="F941" t="s">
        <v>1801</v>
      </c>
      <c r="G941" t="s">
        <v>11</v>
      </c>
      <c r="H941" t="s">
        <v>16</v>
      </c>
    </row>
    <row r="942" spans="1:8" x14ac:dyDescent="0.3">
      <c r="A942" s="3">
        <v>465259</v>
      </c>
      <c r="B942" t="s">
        <v>1828</v>
      </c>
      <c r="C942" t="s">
        <v>1837</v>
      </c>
      <c r="D942" t="s">
        <v>11</v>
      </c>
      <c r="E942" t="s">
        <v>152</v>
      </c>
      <c r="F942" t="s">
        <v>1838</v>
      </c>
      <c r="G942" t="s">
        <v>11</v>
      </c>
      <c r="H942" t="s">
        <v>35</v>
      </c>
    </row>
    <row r="943" spans="1:8" x14ac:dyDescent="0.3">
      <c r="A943" s="3">
        <v>463793</v>
      </c>
      <c r="B943" t="s">
        <v>1828</v>
      </c>
      <c r="C943" t="s">
        <v>1839</v>
      </c>
      <c r="D943" t="s">
        <v>11</v>
      </c>
      <c r="E943" t="s">
        <v>35</v>
      </c>
      <c r="F943" t="s">
        <v>1840</v>
      </c>
      <c r="G943" t="s">
        <v>11</v>
      </c>
      <c r="H943" t="s">
        <v>19</v>
      </c>
    </row>
    <row r="944" spans="1:8" x14ac:dyDescent="0.3">
      <c r="A944" s="3">
        <v>79461</v>
      </c>
      <c r="B944" t="s">
        <v>1828</v>
      </c>
      <c r="C944" t="s">
        <v>1841</v>
      </c>
      <c r="D944" t="s">
        <v>11</v>
      </c>
      <c r="E944" t="s">
        <v>675</v>
      </c>
      <c r="F944" t="s">
        <v>213</v>
      </c>
      <c r="G944" t="s">
        <v>11</v>
      </c>
      <c r="H944" t="s">
        <v>46</v>
      </c>
    </row>
    <row r="945" spans="1:8" x14ac:dyDescent="0.3">
      <c r="A945" s="3">
        <v>60819</v>
      </c>
      <c r="B945" t="s">
        <v>1828</v>
      </c>
      <c r="C945" t="s">
        <v>1842</v>
      </c>
      <c r="D945" t="s">
        <v>11</v>
      </c>
      <c r="E945" t="s">
        <v>37</v>
      </c>
      <c r="F945" t="s">
        <v>1843</v>
      </c>
      <c r="G945" t="s">
        <v>11</v>
      </c>
      <c r="H945" t="s">
        <v>19</v>
      </c>
    </row>
    <row r="946" spans="1:8" x14ac:dyDescent="0.3">
      <c r="A946" s="3">
        <v>61442</v>
      </c>
      <c r="B946" t="s">
        <v>1844</v>
      </c>
      <c r="C946" t="s">
        <v>1845</v>
      </c>
      <c r="D946" t="s">
        <v>11</v>
      </c>
      <c r="E946" t="s">
        <v>436</v>
      </c>
      <c r="F946" t="s">
        <v>682</v>
      </c>
      <c r="G946" t="s">
        <v>11</v>
      </c>
      <c r="H946" t="s">
        <v>27</v>
      </c>
    </row>
    <row r="947" spans="1:8" x14ac:dyDescent="0.3">
      <c r="A947" s="3">
        <v>69382</v>
      </c>
      <c r="B947" t="s">
        <v>1844</v>
      </c>
      <c r="C947" t="s">
        <v>11</v>
      </c>
      <c r="D947" t="s">
        <v>11</v>
      </c>
      <c r="E947" t="s">
        <v>11</v>
      </c>
      <c r="F947" t="s">
        <v>19</v>
      </c>
      <c r="G947" t="s">
        <v>11</v>
      </c>
      <c r="H947" t="s">
        <v>11</v>
      </c>
    </row>
    <row r="948" spans="1:8" x14ac:dyDescent="0.3">
      <c r="A948" s="3">
        <v>457508</v>
      </c>
      <c r="B948" t="s">
        <v>1844</v>
      </c>
      <c r="C948" t="s">
        <v>1769</v>
      </c>
      <c r="D948" t="s">
        <v>11</v>
      </c>
      <c r="E948" t="s">
        <v>14</v>
      </c>
      <c r="F948" t="s">
        <v>1140</v>
      </c>
      <c r="G948" t="s">
        <v>11</v>
      </c>
      <c r="H948" t="s">
        <v>11</v>
      </c>
    </row>
    <row r="949" spans="1:8" x14ac:dyDescent="0.3">
      <c r="A949" s="3">
        <v>60800</v>
      </c>
      <c r="B949" t="s">
        <v>1844</v>
      </c>
      <c r="C949" t="s">
        <v>188</v>
      </c>
      <c r="D949" t="s">
        <v>11</v>
      </c>
      <c r="E949" t="s">
        <v>37</v>
      </c>
      <c r="F949" t="s">
        <v>176</v>
      </c>
      <c r="G949" t="s">
        <v>11</v>
      </c>
      <c r="H949" t="s">
        <v>19</v>
      </c>
    </row>
    <row r="950" spans="1:8" x14ac:dyDescent="0.3">
      <c r="A950" s="3">
        <v>443696</v>
      </c>
      <c r="B950" t="s">
        <v>1844</v>
      </c>
      <c r="C950" t="s">
        <v>1846</v>
      </c>
      <c r="D950" t="s">
        <v>11</v>
      </c>
      <c r="E950" t="s">
        <v>226</v>
      </c>
      <c r="F950" t="s">
        <v>1847</v>
      </c>
      <c r="G950" t="s">
        <v>11</v>
      </c>
      <c r="H950" t="s">
        <v>99</v>
      </c>
    </row>
    <row r="951" spans="1:8" x14ac:dyDescent="0.3">
      <c r="A951" s="3">
        <v>60956</v>
      </c>
      <c r="B951" t="s">
        <v>1844</v>
      </c>
      <c r="C951" t="s">
        <v>8</v>
      </c>
      <c r="D951" t="s">
        <v>8</v>
      </c>
      <c r="E951" t="s">
        <v>8</v>
      </c>
      <c r="F951" t="s">
        <v>8</v>
      </c>
      <c r="G951" t="s">
        <v>8</v>
      </c>
      <c r="H951" t="s">
        <v>8</v>
      </c>
    </row>
    <row r="952" spans="1:8" x14ac:dyDescent="0.3">
      <c r="A952" s="3">
        <v>170484</v>
      </c>
      <c r="B952" t="s">
        <v>1848</v>
      </c>
      <c r="C952" t="s">
        <v>1269</v>
      </c>
      <c r="D952" t="s">
        <v>11</v>
      </c>
      <c r="E952" t="s">
        <v>40</v>
      </c>
      <c r="F952" t="s">
        <v>1849</v>
      </c>
      <c r="G952" t="s">
        <v>11</v>
      </c>
      <c r="H952" t="s">
        <v>19</v>
      </c>
    </row>
    <row r="953" spans="1:8" x14ac:dyDescent="0.3">
      <c r="A953" s="3">
        <v>463364</v>
      </c>
      <c r="B953" t="s">
        <v>1848</v>
      </c>
      <c r="C953" t="s">
        <v>1850</v>
      </c>
      <c r="D953" t="s">
        <v>11</v>
      </c>
      <c r="E953" t="s">
        <v>99</v>
      </c>
      <c r="F953" t="s">
        <v>1851</v>
      </c>
      <c r="G953" t="s">
        <v>11</v>
      </c>
      <c r="H953" t="s">
        <v>19</v>
      </c>
    </row>
    <row r="954" spans="1:8" x14ac:dyDescent="0.3">
      <c r="A954" s="3">
        <v>59854</v>
      </c>
      <c r="B954" t="s">
        <v>1848</v>
      </c>
      <c r="C954" t="s">
        <v>1852</v>
      </c>
      <c r="D954" t="s">
        <v>19</v>
      </c>
      <c r="E954" t="s">
        <v>336</v>
      </c>
      <c r="F954" t="s">
        <v>571</v>
      </c>
      <c r="G954" t="s">
        <v>19</v>
      </c>
      <c r="H954" t="s">
        <v>27</v>
      </c>
    </row>
    <row r="955" spans="1:8" x14ac:dyDescent="0.3">
      <c r="A955" s="3">
        <v>159194</v>
      </c>
      <c r="B955" t="s">
        <v>1848</v>
      </c>
      <c r="C955" t="s">
        <v>1853</v>
      </c>
      <c r="D955" t="s">
        <v>11</v>
      </c>
      <c r="E955" t="s">
        <v>661</v>
      </c>
      <c r="F955" t="s">
        <v>477</v>
      </c>
      <c r="G955" t="s">
        <v>11</v>
      </c>
      <c r="H955" t="s">
        <v>37</v>
      </c>
    </row>
    <row r="956" spans="1:8" x14ac:dyDescent="0.3">
      <c r="A956" s="3">
        <v>146446</v>
      </c>
      <c r="B956" t="s">
        <v>1848</v>
      </c>
      <c r="C956" t="s">
        <v>1713</v>
      </c>
      <c r="D956" t="s">
        <v>11</v>
      </c>
      <c r="E956" t="s">
        <v>74</v>
      </c>
      <c r="F956" t="s">
        <v>1854</v>
      </c>
      <c r="G956" t="s">
        <v>11</v>
      </c>
      <c r="H956" t="s">
        <v>14</v>
      </c>
    </row>
    <row r="957" spans="1:8" x14ac:dyDescent="0.3">
      <c r="A957" s="3">
        <v>60490</v>
      </c>
      <c r="B957" t="s">
        <v>1848</v>
      </c>
      <c r="C957" t="s">
        <v>1855</v>
      </c>
      <c r="D957" t="s">
        <v>19</v>
      </c>
      <c r="E957" t="s">
        <v>1856</v>
      </c>
      <c r="F957" t="s">
        <v>1857</v>
      </c>
      <c r="G957" t="s">
        <v>19</v>
      </c>
      <c r="H957" t="s">
        <v>139</v>
      </c>
    </row>
    <row r="958" spans="1:8" x14ac:dyDescent="0.3">
      <c r="A958" s="3">
        <v>151169</v>
      </c>
      <c r="B958" t="s">
        <v>1848</v>
      </c>
      <c r="C958" t="s">
        <v>1858</v>
      </c>
      <c r="D958" t="s">
        <v>11</v>
      </c>
      <c r="E958" t="s">
        <v>27</v>
      </c>
      <c r="F958" t="s">
        <v>686</v>
      </c>
      <c r="G958" t="s">
        <v>11</v>
      </c>
      <c r="H958" t="s">
        <v>19</v>
      </c>
    </row>
    <row r="959" spans="1:8" x14ac:dyDescent="0.3">
      <c r="A959" s="3">
        <v>462595</v>
      </c>
      <c r="B959" t="s">
        <v>1848</v>
      </c>
      <c r="C959" t="s">
        <v>1859</v>
      </c>
      <c r="D959" t="s">
        <v>11</v>
      </c>
      <c r="E959" t="s">
        <v>142</v>
      </c>
      <c r="F959" t="s">
        <v>1860</v>
      </c>
      <c r="G959" t="s">
        <v>11</v>
      </c>
      <c r="H959" t="s">
        <v>27</v>
      </c>
    </row>
    <row r="960" spans="1:8" x14ac:dyDescent="0.3">
      <c r="A960" s="3">
        <v>453416</v>
      </c>
      <c r="B960" t="s">
        <v>1848</v>
      </c>
      <c r="C960" t="s">
        <v>1861</v>
      </c>
      <c r="D960" t="s">
        <v>11</v>
      </c>
      <c r="E960" t="s">
        <v>139</v>
      </c>
      <c r="F960" t="s">
        <v>1862</v>
      </c>
      <c r="G960" t="s">
        <v>11</v>
      </c>
      <c r="H960" t="s">
        <v>37</v>
      </c>
    </row>
    <row r="961" spans="1:8" x14ac:dyDescent="0.3">
      <c r="A961" s="3">
        <v>838669</v>
      </c>
      <c r="B961" t="s">
        <v>1863</v>
      </c>
      <c r="C961" t="s">
        <v>1350</v>
      </c>
      <c r="D961" t="s">
        <v>11</v>
      </c>
      <c r="E961" t="s">
        <v>250</v>
      </c>
      <c r="F961" t="s">
        <v>1714</v>
      </c>
      <c r="G961" t="s">
        <v>11</v>
      </c>
      <c r="H961" t="s">
        <v>27</v>
      </c>
    </row>
    <row r="962" spans="1:8" x14ac:dyDescent="0.3">
      <c r="A962" s="3">
        <v>155803</v>
      </c>
      <c r="B962" t="s">
        <v>1863</v>
      </c>
      <c r="C962" t="s">
        <v>1864</v>
      </c>
      <c r="D962" t="s">
        <v>11</v>
      </c>
      <c r="E962" t="s">
        <v>1865</v>
      </c>
      <c r="F962" t="s">
        <v>1866</v>
      </c>
      <c r="G962" t="s">
        <v>11</v>
      </c>
      <c r="H962" t="s">
        <v>74</v>
      </c>
    </row>
    <row r="963" spans="1:8" x14ac:dyDescent="0.3">
      <c r="A963" s="3">
        <v>48945</v>
      </c>
      <c r="B963" t="s">
        <v>1863</v>
      </c>
      <c r="C963" t="s">
        <v>1867</v>
      </c>
      <c r="D963" t="s">
        <v>11</v>
      </c>
      <c r="E963" t="s">
        <v>436</v>
      </c>
      <c r="F963" t="s">
        <v>1177</v>
      </c>
      <c r="G963" t="s">
        <v>11</v>
      </c>
      <c r="H963" t="s">
        <v>37</v>
      </c>
    </row>
    <row r="964" spans="1:8" x14ac:dyDescent="0.3">
      <c r="A964" s="3">
        <v>152239</v>
      </c>
      <c r="B964" t="s">
        <v>1863</v>
      </c>
      <c r="C964" t="s">
        <v>1868</v>
      </c>
      <c r="D964" t="s">
        <v>11</v>
      </c>
      <c r="E964" t="s">
        <v>210</v>
      </c>
      <c r="F964" t="s">
        <v>1869</v>
      </c>
      <c r="G964" t="s">
        <v>11</v>
      </c>
      <c r="H964" t="s">
        <v>35</v>
      </c>
    </row>
    <row r="965" spans="1:8" x14ac:dyDescent="0.3">
      <c r="A965" s="3">
        <v>467932</v>
      </c>
      <c r="B965" t="s">
        <v>1863</v>
      </c>
      <c r="C965" t="s">
        <v>1870</v>
      </c>
      <c r="D965" t="s">
        <v>11</v>
      </c>
      <c r="E965" t="s">
        <v>1312</v>
      </c>
      <c r="F965" t="s">
        <v>705</v>
      </c>
      <c r="G965" t="s">
        <v>11</v>
      </c>
      <c r="H965" t="s">
        <v>46</v>
      </c>
    </row>
    <row r="966" spans="1:8" x14ac:dyDescent="0.3">
      <c r="A966" s="3">
        <v>815432</v>
      </c>
      <c r="B966" t="s">
        <v>1863</v>
      </c>
      <c r="C966" t="s">
        <v>1871</v>
      </c>
      <c r="D966" t="s">
        <v>11</v>
      </c>
      <c r="E966" t="s">
        <v>1148</v>
      </c>
      <c r="F966" t="s">
        <v>1872</v>
      </c>
      <c r="G966" t="s">
        <v>11</v>
      </c>
      <c r="H966" t="s">
        <v>74</v>
      </c>
    </row>
    <row r="967" spans="1:8" x14ac:dyDescent="0.3">
      <c r="A967" s="3">
        <v>150565</v>
      </c>
      <c r="B967" t="s">
        <v>1863</v>
      </c>
      <c r="C967" t="s">
        <v>1873</v>
      </c>
      <c r="D967" t="s">
        <v>11</v>
      </c>
      <c r="E967" t="s">
        <v>472</v>
      </c>
      <c r="F967" t="s">
        <v>1874</v>
      </c>
      <c r="G967" t="s">
        <v>11</v>
      </c>
      <c r="H967" t="s">
        <v>19</v>
      </c>
    </row>
    <row r="968" spans="1:8" x14ac:dyDescent="0.3">
      <c r="A968" s="3">
        <v>147714</v>
      </c>
      <c r="B968" t="s">
        <v>1863</v>
      </c>
      <c r="C968" t="s">
        <v>1875</v>
      </c>
      <c r="D968" t="s">
        <v>11</v>
      </c>
      <c r="E968" t="s">
        <v>46</v>
      </c>
      <c r="F968" t="s">
        <v>1876</v>
      </c>
      <c r="G968" t="s">
        <v>11</v>
      </c>
      <c r="H968" t="s">
        <v>19</v>
      </c>
    </row>
    <row r="969" spans="1:8" x14ac:dyDescent="0.3">
      <c r="A969" s="3">
        <v>61885</v>
      </c>
      <c r="B969" t="s">
        <v>1863</v>
      </c>
      <c r="C969" t="s">
        <v>888</v>
      </c>
      <c r="D969" t="s">
        <v>11</v>
      </c>
      <c r="E969" t="s">
        <v>130</v>
      </c>
      <c r="F969" t="s">
        <v>1877</v>
      </c>
      <c r="G969" t="s">
        <v>11</v>
      </c>
      <c r="H969" t="s">
        <v>19</v>
      </c>
    </row>
    <row r="970" spans="1:8" x14ac:dyDescent="0.3">
      <c r="A970" s="3">
        <v>84504</v>
      </c>
      <c r="B970" t="s">
        <v>1878</v>
      </c>
      <c r="C970" t="s">
        <v>1879</v>
      </c>
      <c r="D970" t="s">
        <v>11</v>
      </c>
      <c r="E970" t="s">
        <v>1877</v>
      </c>
      <c r="F970" t="s">
        <v>1880</v>
      </c>
      <c r="G970" t="s">
        <v>11</v>
      </c>
      <c r="H970" t="s">
        <v>152</v>
      </c>
    </row>
    <row r="971" spans="1:8" x14ac:dyDescent="0.3">
      <c r="A971" s="3">
        <v>272524</v>
      </c>
      <c r="B971" t="s">
        <v>1878</v>
      </c>
      <c r="C971" t="s">
        <v>1881</v>
      </c>
      <c r="D971" t="s">
        <v>11</v>
      </c>
      <c r="E971" t="s">
        <v>37</v>
      </c>
      <c r="F971" t="s">
        <v>1882</v>
      </c>
      <c r="G971" t="s">
        <v>11</v>
      </c>
      <c r="H971" t="s">
        <v>19</v>
      </c>
    </row>
    <row r="972" spans="1:8" x14ac:dyDescent="0.3">
      <c r="A972" s="3">
        <v>452129</v>
      </c>
      <c r="B972" t="s">
        <v>1878</v>
      </c>
      <c r="C972" t="s">
        <v>1883</v>
      </c>
      <c r="D972" t="s">
        <v>11</v>
      </c>
      <c r="E972" t="s">
        <v>105</v>
      </c>
      <c r="F972" t="s">
        <v>1485</v>
      </c>
      <c r="G972" t="s">
        <v>11</v>
      </c>
      <c r="H972" t="s">
        <v>14</v>
      </c>
    </row>
    <row r="973" spans="1:8" x14ac:dyDescent="0.3">
      <c r="A973" s="3">
        <v>61357</v>
      </c>
      <c r="B973" t="s">
        <v>1878</v>
      </c>
      <c r="C973" t="s">
        <v>1884</v>
      </c>
      <c r="D973" t="s">
        <v>11</v>
      </c>
      <c r="E973" t="s">
        <v>64</v>
      </c>
      <c r="F973" t="s">
        <v>957</v>
      </c>
      <c r="G973" t="s">
        <v>11</v>
      </c>
      <c r="H973" t="s">
        <v>19</v>
      </c>
    </row>
    <row r="974" spans="1:8" x14ac:dyDescent="0.3">
      <c r="A974" s="3">
        <v>455444</v>
      </c>
      <c r="B974" t="s">
        <v>1878</v>
      </c>
      <c r="C974" t="s">
        <v>1885</v>
      </c>
      <c r="D974" t="s">
        <v>11</v>
      </c>
      <c r="E974" t="s">
        <v>250</v>
      </c>
      <c r="F974" t="s">
        <v>1886</v>
      </c>
      <c r="G974" t="s">
        <v>11</v>
      </c>
      <c r="H974" t="s">
        <v>27</v>
      </c>
    </row>
    <row r="975" spans="1:8" x14ac:dyDescent="0.3">
      <c r="A975" s="3">
        <v>154993</v>
      </c>
      <c r="B975" t="s">
        <v>1878</v>
      </c>
      <c r="C975" t="s">
        <v>1887</v>
      </c>
      <c r="D975" t="s">
        <v>11</v>
      </c>
      <c r="E975" t="s">
        <v>273</v>
      </c>
      <c r="F975" t="s">
        <v>1888</v>
      </c>
      <c r="G975" t="s">
        <v>11</v>
      </c>
      <c r="H975" t="s">
        <v>107</v>
      </c>
    </row>
    <row r="976" spans="1:8" x14ac:dyDescent="0.3">
      <c r="A976" s="3">
        <v>486469</v>
      </c>
      <c r="B976" t="s">
        <v>1878</v>
      </c>
      <c r="C976" t="s">
        <v>1889</v>
      </c>
      <c r="D976" t="s">
        <v>11</v>
      </c>
      <c r="E976" t="s">
        <v>74</v>
      </c>
      <c r="F976" t="s">
        <v>1890</v>
      </c>
      <c r="G976" t="s">
        <v>11</v>
      </c>
      <c r="H976" t="s">
        <v>19</v>
      </c>
    </row>
    <row r="977" spans="1:8" x14ac:dyDescent="0.3">
      <c r="A977" s="3">
        <v>486412</v>
      </c>
      <c r="B977" t="s">
        <v>1878</v>
      </c>
      <c r="C977" t="s">
        <v>1891</v>
      </c>
      <c r="D977" t="s">
        <v>11</v>
      </c>
      <c r="E977" t="s">
        <v>16</v>
      </c>
      <c r="F977" t="s">
        <v>1892</v>
      </c>
      <c r="G977" t="s">
        <v>11</v>
      </c>
      <c r="H977" t="s">
        <v>19</v>
      </c>
    </row>
    <row r="978" spans="1:8" x14ac:dyDescent="0.3">
      <c r="A978" s="3">
        <v>148983</v>
      </c>
      <c r="B978" t="s">
        <v>1878</v>
      </c>
      <c r="C978" t="s">
        <v>1893</v>
      </c>
      <c r="D978" t="s">
        <v>19</v>
      </c>
      <c r="E978" t="s">
        <v>1668</v>
      </c>
      <c r="F978" t="s">
        <v>1894</v>
      </c>
      <c r="G978" t="s">
        <v>19</v>
      </c>
      <c r="H978" t="s">
        <v>336</v>
      </c>
    </row>
    <row r="979" spans="1:8" x14ac:dyDescent="0.3">
      <c r="A979" s="3">
        <v>55342</v>
      </c>
      <c r="B979" t="s">
        <v>1878</v>
      </c>
      <c r="C979" t="s">
        <v>1895</v>
      </c>
      <c r="D979" t="s">
        <v>11</v>
      </c>
      <c r="E979" t="s">
        <v>105</v>
      </c>
      <c r="F979" t="s">
        <v>1896</v>
      </c>
      <c r="G979" t="s">
        <v>19</v>
      </c>
      <c r="H979" t="s">
        <v>27</v>
      </c>
    </row>
    <row r="980" spans="1:8" x14ac:dyDescent="0.3">
      <c r="A980" s="3">
        <v>443111</v>
      </c>
      <c r="B980" t="s">
        <v>1897</v>
      </c>
      <c r="C980" t="s">
        <v>1898</v>
      </c>
      <c r="D980" t="s">
        <v>11</v>
      </c>
      <c r="E980" t="s">
        <v>89</v>
      </c>
      <c r="F980" t="s">
        <v>1899</v>
      </c>
      <c r="G980" t="s">
        <v>11</v>
      </c>
      <c r="H980" t="s">
        <v>14</v>
      </c>
    </row>
    <row r="981" spans="1:8" x14ac:dyDescent="0.3">
      <c r="A981" s="3">
        <v>534494</v>
      </c>
      <c r="B981" t="s">
        <v>1897</v>
      </c>
      <c r="C981" t="s">
        <v>1900</v>
      </c>
      <c r="D981" t="s">
        <v>11</v>
      </c>
      <c r="E981" t="s">
        <v>1076</v>
      </c>
      <c r="F981" t="s">
        <v>826</v>
      </c>
      <c r="G981" t="s">
        <v>11</v>
      </c>
      <c r="H981" t="s">
        <v>35</v>
      </c>
    </row>
    <row r="982" spans="1:8" x14ac:dyDescent="0.3">
      <c r="A982" s="3">
        <v>463420</v>
      </c>
      <c r="B982" t="s">
        <v>1897</v>
      </c>
      <c r="C982" t="s">
        <v>1901</v>
      </c>
      <c r="D982" t="s">
        <v>11</v>
      </c>
      <c r="E982" t="s">
        <v>253</v>
      </c>
      <c r="F982" t="s">
        <v>1686</v>
      </c>
      <c r="G982" t="s">
        <v>11</v>
      </c>
      <c r="H982" t="s">
        <v>27</v>
      </c>
    </row>
    <row r="983" spans="1:8" x14ac:dyDescent="0.3">
      <c r="A983" s="3">
        <v>149690</v>
      </c>
      <c r="B983" t="s">
        <v>1897</v>
      </c>
      <c r="C983" t="s">
        <v>1902</v>
      </c>
      <c r="D983" t="s">
        <v>11</v>
      </c>
      <c r="E983" t="s">
        <v>46</v>
      </c>
      <c r="F983" t="s">
        <v>17</v>
      </c>
      <c r="G983" t="s">
        <v>11</v>
      </c>
      <c r="H983" t="s">
        <v>19</v>
      </c>
    </row>
    <row r="984" spans="1:8" x14ac:dyDescent="0.3">
      <c r="A984" s="3">
        <v>151862</v>
      </c>
      <c r="B984" t="s">
        <v>1897</v>
      </c>
      <c r="C984" t="s">
        <v>1903</v>
      </c>
      <c r="D984" t="s">
        <v>19</v>
      </c>
      <c r="E984" t="s">
        <v>968</v>
      </c>
      <c r="F984" t="s">
        <v>1305</v>
      </c>
      <c r="G984" t="s">
        <v>19</v>
      </c>
      <c r="H984" t="s">
        <v>54</v>
      </c>
    </row>
    <row r="985" spans="1:8" x14ac:dyDescent="0.3">
      <c r="A985" s="3">
        <v>63479</v>
      </c>
      <c r="B985" t="s">
        <v>1897</v>
      </c>
      <c r="C985" t="s">
        <v>1904</v>
      </c>
      <c r="D985" t="s">
        <v>11</v>
      </c>
      <c r="E985" t="s">
        <v>12</v>
      </c>
      <c r="F985" t="s">
        <v>1569</v>
      </c>
      <c r="G985" t="s">
        <v>11</v>
      </c>
      <c r="H985" t="s">
        <v>14</v>
      </c>
    </row>
    <row r="986" spans="1:8" x14ac:dyDescent="0.3">
      <c r="A986" s="3">
        <v>66736</v>
      </c>
      <c r="B986" t="s">
        <v>1897</v>
      </c>
      <c r="C986" t="s">
        <v>1905</v>
      </c>
      <c r="D986" t="s">
        <v>11</v>
      </c>
      <c r="E986" t="s">
        <v>436</v>
      </c>
      <c r="F986" t="s">
        <v>986</v>
      </c>
      <c r="G986" t="s">
        <v>11</v>
      </c>
      <c r="H986" t="s">
        <v>37</v>
      </c>
    </row>
    <row r="987" spans="1:8" x14ac:dyDescent="0.3">
      <c r="A987" s="3">
        <v>456537</v>
      </c>
      <c r="B987" t="s">
        <v>1897</v>
      </c>
      <c r="C987" t="s">
        <v>1906</v>
      </c>
      <c r="D987" t="s">
        <v>11</v>
      </c>
      <c r="E987" t="s">
        <v>287</v>
      </c>
      <c r="F987" t="s">
        <v>1907</v>
      </c>
      <c r="G987" t="s">
        <v>11</v>
      </c>
      <c r="H987" t="s">
        <v>19</v>
      </c>
    </row>
    <row r="988" spans="1:8" x14ac:dyDescent="0.3">
      <c r="A988" s="3">
        <v>48974</v>
      </c>
      <c r="B988" t="s">
        <v>1897</v>
      </c>
      <c r="C988" t="s">
        <v>1908</v>
      </c>
      <c r="D988" t="s">
        <v>11</v>
      </c>
      <c r="E988" t="s">
        <v>299</v>
      </c>
      <c r="F988" t="s">
        <v>757</v>
      </c>
      <c r="G988" t="s">
        <v>11</v>
      </c>
      <c r="H988" t="s">
        <v>37</v>
      </c>
    </row>
    <row r="989" spans="1:8" x14ac:dyDescent="0.3">
      <c r="A989" s="3">
        <v>793053</v>
      </c>
      <c r="B989" t="s">
        <v>1909</v>
      </c>
      <c r="C989" t="s">
        <v>1910</v>
      </c>
      <c r="D989" t="s">
        <v>11</v>
      </c>
      <c r="E989" t="s">
        <v>22</v>
      </c>
      <c r="F989" t="s">
        <v>1911</v>
      </c>
      <c r="G989" t="s">
        <v>11</v>
      </c>
      <c r="H989" t="s">
        <v>35</v>
      </c>
    </row>
    <row r="990" spans="1:8" x14ac:dyDescent="0.3">
      <c r="A990" s="3">
        <v>148997</v>
      </c>
      <c r="B990" t="s">
        <v>1909</v>
      </c>
      <c r="C990" t="s">
        <v>1912</v>
      </c>
      <c r="D990" t="s">
        <v>11</v>
      </c>
      <c r="E990" t="s">
        <v>114</v>
      </c>
      <c r="F990" t="s">
        <v>1913</v>
      </c>
      <c r="G990" t="s">
        <v>11</v>
      </c>
      <c r="H990" t="s">
        <v>37</v>
      </c>
    </row>
    <row r="991" spans="1:8" x14ac:dyDescent="0.3">
      <c r="A991" s="3">
        <v>468012</v>
      </c>
      <c r="B991" t="s">
        <v>1909</v>
      </c>
      <c r="C991" t="s">
        <v>1914</v>
      </c>
      <c r="D991" t="s">
        <v>11</v>
      </c>
      <c r="E991" t="s">
        <v>387</v>
      </c>
      <c r="F991" t="s">
        <v>1915</v>
      </c>
      <c r="G991" t="s">
        <v>11</v>
      </c>
      <c r="H991" t="s">
        <v>37</v>
      </c>
    </row>
    <row r="992" spans="1:8" x14ac:dyDescent="0.3">
      <c r="A992" s="3">
        <v>60602</v>
      </c>
      <c r="B992" t="s">
        <v>1909</v>
      </c>
      <c r="C992" t="s">
        <v>1916</v>
      </c>
      <c r="D992" t="s">
        <v>19</v>
      </c>
      <c r="E992" t="s">
        <v>261</v>
      </c>
      <c r="F992" t="s">
        <v>670</v>
      </c>
      <c r="G992" t="s">
        <v>19</v>
      </c>
      <c r="H992" t="s">
        <v>14</v>
      </c>
    </row>
    <row r="993" spans="1:8" x14ac:dyDescent="0.3">
      <c r="A993" s="3">
        <v>446671</v>
      </c>
      <c r="B993" t="s">
        <v>1909</v>
      </c>
      <c r="C993" t="s">
        <v>1917</v>
      </c>
      <c r="D993" t="s">
        <v>11</v>
      </c>
      <c r="E993" t="s">
        <v>1918</v>
      </c>
      <c r="F993" t="s">
        <v>1919</v>
      </c>
      <c r="G993" t="s">
        <v>19</v>
      </c>
      <c r="H993" t="s">
        <v>46</v>
      </c>
    </row>
    <row r="994" spans="1:8" x14ac:dyDescent="0.3">
      <c r="A994" s="3">
        <v>52409</v>
      </c>
      <c r="B994" t="s">
        <v>1909</v>
      </c>
      <c r="C994" t="s">
        <v>1920</v>
      </c>
      <c r="D994" t="s">
        <v>11</v>
      </c>
      <c r="E994" t="s">
        <v>130</v>
      </c>
      <c r="F994" t="s">
        <v>1921</v>
      </c>
      <c r="G994" t="s">
        <v>11</v>
      </c>
      <c r="H994" t="s">
        <v>14</v>
      </c>
    </row>
    <row r="995" spans="1:8" x14ac:dyDescent="0.3">
      <c r="A995" s="3">
        <v>170342</v>
      </c>
      <c r="B995" t="s">
        <v>1909</v>
      </c>
      <c r="C995" t="s">
        <v>1922</v>
      </c>
      <c r="D995" t="s">
        <v>11</v>
      </c>
      <c r="E995" t="s">
        <v>19</v>
      </c>
      <c r="F995" t="s">
        <v>1923</v>
      </c>
      <c r="G995" t="s">
        <v>11</v>
      </c>
      <c r="H995" t="s">
        <v>19</v>
      </c>
    </row>
    <row r="996" spans="1:8" x14ac:dyDescent="0.3">
      <c r="A996" s="3">
        <v>65416</v>
      </c>
      <c r="B996" t="s">
        <v>1909</v>
      </c>
      <c r="C996" t="s">
        <v>1924</v>
      </c>
      <c r="D996" t="s">
        <v>19</v>
      </c>
      <c r="E996" t="s">
        <v>64</v>
      </c>
      <c r="F996" t="s">
        <v>1858</v>
      </c>
      <c r="G996" t="s">
        <v>19</v>
      </c>
      <c r="H996" t="s">
        <v>14</v>
      </c>
    </row>
    <row r="997" spans="1:8" x14ac:dyDescent="0.3">
      <c r="A997" s="3">
        <v>148105</v>
      </c>
      <c r="B997" t="s">
        <v>1909</v>
      </c>
      <c r="C997" t="s">
        <v>1925</v>
      </c>
      <c r="D997" t="s">
        <v>19</v>
      </c>
      <c r="E997" t="s">
        <v>99</v>
      </c>
      <c r="F997" t="s">
        <v>598</v>
      </c>
      <c r="G997" t="s">
        <v>19</v>
      </c>
      <c r="H997" t="s">
        <v>19</v>
      </c>
    </row>
    <row r="998" spans="1:8" x14ac:dyDescent="0.3">
      <c r="A998" s="3">
        <v>61871</v>
      </c>
      <c r="B998" t="s">
        <v>1926</v>
      </c>
      <c r="C998" t="s">
        <v>1927</v>
      </c>
      <c r="D998" t="s">
        <v>11</v>
      </c>
      <c r="E998" t="s">
        <v>261</v>
      </c>
      <c r="F998" t="s">
        <v>1928</v>
      </c>
      <c r="G998" t="s">
        <v>11</v>
      </c>
      <c r="H998" t="s">
        <v>14</v>
      </c>
    </row>
    <row r="999" spans="1:8" x14ac:dyDescent="0.3">
      <c r="A999" s="3">
        <v>463302</v>
      </c>
      <c r="B999" t="s">
        <v>1926</v>
      </c>
      <c r="C999" t="s">
        <v>1929</v>
      </c>
      <c r="D999" t="s">
        <v>11</v>
      </c>
      <c r="E999" t="s">
        <v>31</v>
      </c>
      <c r="F999" t="s">
        <v>1930</v>
      </c>
      <c r="G999" t="s">
        <v>11</v>
      </c>
      <c r="H999" t="s">
        <v>27</v>
      </c>
    </row>
    <row r="1000" spans="1:8" x14ac:dyDescent="0.3">
      <c r="A1000" s="3">
        <v>60584</v>
      </c>
      <c r="B1000" t="s">
        <v>1926</v>
      </c>
      <c r="C1000" t="s">
        <v>1931</v>
      </c>
      <c r="D1000" t="s">
        <v>19</v>
      </c>
      <c r="E1000" t="s">
        <v>35</v>
      </c>
      <c r="F1000" t="s">
        <v>1932</v>
      </c>
      <c r="G1000" t="s">
        <v>19</v>
      </c>
      <c r="H1000" t="s">
        <v>27</v>
      </c>
    </row>
    <row r="1001" spans="1:8" x14ac:dyDescent="0.3">
      <c r="A1001" s="3">
        <v>62413</v>
      </c>
      <c r="B1001" t="s">
        <v>1926</v>
      </c>
      <c r="C1001" t="s">
        <v>435</v>
      </c>
      <c r="D1001" t="s">
        <v>11</v>
      </c>
      <c r="E1001" t="s">
        <v>31</v>
      </c>
      <c r="F1001" t="s">
        <v>1933</v>
      </c>
      <c r="G1001" t="s">
        <v>11</v>
      </c>
      <c r="H1001" t="s">
        <v>14</v>
      </c>
    </row>
    <row r="1002" spans="1:8" x14ac:dyDescent="0.3">
      <c r="A1002" s="3">
        <v>67156</v>
      </c>
      <c r="B1002" t="s">
        <v>1926</v>
      </c>
      <c r="C1002" t="s">
        <v>356</v>
      </c>
      <c r="D1002" t="s">
        <v>11</v>
      </c>
      <c r="E1002" t="s">
        <v>16</v>
      </c>
      <c r="F1002" t="s">
        <v>1934</v>
      </c>
      <c r="G1002" t="s">
        <v>11</v>
      </c>
      <c r="H1002" t="s">
        <v>19</v>
      </c>
    </row>
    <row r="1003" spans="1:8" x14ac:dyDescent="0.3">
      <c r="A1003" s="3">
        <v>87791</v>
      </c>
      <c r="B1003" t="s">
        <v>1926</v>
      </c>
      <c r="C1003" t="s">
        <v>1935</v>
      </c>
      <c r="D1003" t="s">
        <v>11</v>
      </c>
      <c r="E1003" t="s">
        <v>19</v>
      </c>
      <c r="F1003" t="s">
        <v>1275</v>
      </c>
      <c r="G1003" t="s">
        <v>11</v>
      </c>
      <c r="H1003" t="s">
        <v>11</v>
      </c>
    </row>
    <row r="1004" spans="1:8" x14ac:dyDescent="0.3">
      <c r="A1004" s="3">
        <v>455477</v>
      </c>
      <c r="B1004" t="s">
        <v>1926</v>
      </c>
      <c r="C1004" t="s">
        <v>1936</v>
      </c>
      <c r="D1004" t="s">
        <v>11</v>
      </c>
      <c r="E1004" t="s">
        <v>661</v>
      </c>
      <c r="F1004" t="s">
        <v>1937</v>
      </c>
      <c r="G1004" t="s">
        <v>11</v>
      </c>
      <c r="H1004" t="s">
        <v>46</v>
      </c>
    </row>
    <row r="1005" spans="1:8" x14ac:dyDescent="0.3">
      <c r="A1005" s="3">
        <v>84486</v>
      </c>
      <c r="B1005" t="s">
        <v>1926</v>
      </c>
      <c r="C1005" t="s">
        <v>1335</v>
      </c>
      <c r="D1005" t="s">
        <v>11</v>
      </c>
      <c r="E1005" t="s">
        <v>1938</v>
      </c>
      <c r="F1005" t="s">
        <v>465</v>
      </c>
      <c r="G1005" t="s">
        <v>11</v>
      </c>
      <c r="H1005" t="s">
        <v>900</v>
      </c>
    </row>
    <row r="1006" spans="1:8" x14ac:dyDescent="0.3">
      <c r="A1006" s="3">
        <v>465278</v>
      </c>
      <c r="B1006" t="s">
        <v>1926</v>
      </c>
      <c r="C1006" t="s">
        <v>1268</v>
      </c>
      <c r="D1006" t="s">
        <v>11</v>
      </c>
      <c r="E1006" t="s">
        <v>837</v>
      </c>
      <c r="F1006" t="s">
        <v>1939</v>
      </c>
      <c r="G1006" t="s">
        <v>11</v>
      </c>
      <c r="H1006" t="s">
        <v>43</v>
      </c>
    </row>
    <row r="1007" spans="1:8" x14ac:dyDescent="0.3">
      <c r="A1007" s="3">
        <v>456518</v>
      </c>
      <c r="B1007" t="s">
        <v>1926</v>
      </c>
      <c r="C1007" t="s">
        <v>1940</v>
      </c>
      <c r="D1007" t="s">
        <v>11</v>
      </c>
      <c r="E1007" t="s">
        <v>436</v>
      </c>
      <c r="F1007" t="s">
        <v>1941</v>
      </c>
      <c r="G1007" t="s">
        <v>11</v>
      </c>
      <c r="H1007" t="s">
        <v>37</v>
      </c>
    </row>
    <row r="1008" spans="1:8" x14ac:dyDescent="0.3">
      <c r="A1008" s="3">
        <v>160729</v>
      </c>
      <c r="B1008" t="s">
        <v>1942</v>
      </c>
      <c r="C1008" t="s">
        <v>1943</v>
      </c>
      <c r="D1008" t="s">
        <v>11</v>
      </c>
      <c r="E1008" t="s">
        <v>118</v>
      </c>
      <c r="F1008" t="s">
        <v>1944</v>
      </c>
      <c r="G1008" t="s">
        <v>11</v>
      </c>
      <c r="H1008" t="s">
        <v>35</v>
      </c>
    </row>
    <row r="1009" spans="1:8" x14ac:dyDescent="0.3">
      <c r="A1009" s="3">
        <v>700761</v>
      </c>
      <c r="B1009" t="s">
        <v>1942</v>
      </c>
      <c r="C1009" t="s">
        <v>1945</v>
      </c>
      <c r="D1009" t="s">
        <v>11</v>
      </c>
      <c r="E1009" t="s">
        <v>74</v>
      </c>
      <c r="F1009" t="s">
        <v>1389</v>
      </c>
      <c r="G1009" t="s">
        <v>11</v>
      </c>
      <c r="H1009" t="s">
        <v>14</v>
      </c>
    </row>
    <row r="1010" spans="1:8" x14ac:dyDescent="0.3">
      <c r="A1010" s="3">
        <v>512604</v>
      </c>
      <c r="B1010" t="s">
        <v>1942</v>
      </c>
      <c r="C1010" t="s">
        <v>1946</v>
      </c>
      <c r="D1010" t="s">
        <v>11</v>
      </c>
      <c r="E1010" t="s">
        <v>35</v>
      </c>
      <c r="F1010" t="s">
        <v>497</v>
      </c>
      <c r="G1010" t="s">
        <v>11</v>
      </c>
      <c r="H1010" t="s">
        <v>19</v>
      </c>
    </row>
    <row r="1011" spans="1:8" x14ac:dyDescent="0.3">
      <c r="A1011" s="3">
        <v>454557</v>
      </c>
      <c r="B1011" t="s">
        <v>1942</v>
      </c>
      <c r="C1011" t="s">
        <v>1947</v>
      </c>
      <c r="D1011" t="s">
        <v>11</v>
      </c>
      <c r="E1011" t="s">
        <v>1132</v>
      </c>
      <c r="F1011" t="s">
        <v>983</v>
      </c>
      <c r="G1011" t="s">
        <v>11</v>
      </c>
      <c r="H1011" t="s">
        <v>64</v>
      </c>
    </row>
    <row r="1012" spans="1:8" x14ac:dyDescent="0.3">
      <c r="A1012" s="3">
        <v>447270</v>
      </c>
      <c r="B1012" t="s">
        <v>1942</v>
      </c>
      <c r="C1012" t="s">
        <v>1948</v>
      </c>
      <c r="D1012" t="s">
        <v>11</v>
      </c>
      <c r="E1012" t="s">
        <v>329</v>
      </c>
      <c r="F1012" t="s">
        <v>1949</v>
      </c>
      <c r="G1012" t="s">
        <v>11</v>
      </c>
      <c r="H1012" t="s">
        <v>54</v>
      </c>
    </row>
    <row r="1013" spans="1:8" x14ac:dyDescent="0.3">
      <c r="A1013" s="3">
        <v>454675</v>
      </c>
      <c r="B1013" t="s">
        <v>1942</v>
      </c>
      <c r="C1013" t="s">
        <v>1950</v>
      </c>
      <c r="D1013" t="s">
        <v>11</v>
      </c>
      <c r="E1013" t="s">
        <v>321</v>
      </c>
      <c r="F1013" t="s">
        <v>1951</v>
      </c>
      <c r="G1013" t="s">
        <v>11</v>
      </c>
      <c r="H1013" t="s">
        <v>46</v>
      </c>
    </row>
    <row r="1014" spans="1:8" x14ac:dyDescent="0.3">
      <c r="A1014" s="3">
        <v>52169</v>
      </c>
      <c r="B1014" t="s">
        <v>1942</v>
      </c>
      <c r="C1014" t="s">
        <v>940</v>
      </c>
      <c r="D1014" t="s">
        <v>11</v>
      </c>
      <c r="E1014" t="s">
        <v>89</v>
      </c>
      <c r="F1014" t="s">
        <v>1952</v>
      </c>
      <c r="G1014" t="s">
        <v>11</v>
      </c>
      <c r="H1014" t="s">
        <v>14</v>
      </c>
    </row>
    <row r="1015" spans="1:8" x14ac:dyDescent="0.3">
      <c r="A1015" s="3">
        <v>454213</v>
      </c>
      <c r="B1015" t="s">
        <v>1942</v>
      </c>
      <c r="C1015" t="s">
        <v>1953</v>
      </c>
      <c r="D1015" t="s">
        <v>11</v>
      </c>
      <c r="E1015" t="s">
        <v>19</v>
      </c>
      <c r="F1015" t="s">
        <v>619</v>
      </c>
      <c r="G1015" t="s">
        <v>11</v>
      </c>
      <c r="H1015" t="s">
        <v>11</v>
      </c>
    </row>
    <row r="1016" spans="1:8" x14ac:dyDescent="0.3">
      <c r="A1016" s="3">
        <v>48926</v>
      </c>
      <c r="B1016" t="s">
        <v>1942</v>
      </c>
      <c r="C1016" t="s">
        <v>1954</v>
      </c>
      <c r="D1016" t="s">
        <v>11</v>
      </c>
      <c r="E1016" t="s">
        <v>1076</v>
      </c>
      <c r="F1016" t="s">
        <v>1955</v>
      </c>
      <c r="G1016" t="s">
        <v>11</v>
      </c>
      <c r="H1016" t="s">
        <v>46</v>
      </c>
    </row>
    <row r="1017" spans="1:8" x14ac:dyDescent="0.3">
      <c r="A1017" s="3">
        <v>463585</v>
      </c>
      <c r="B1017" t="s">
        <v>1956</v>
      </c>
      <c r="C1017" t="s">
        <v>1957</v>
      </c>
      <c r="D1017" t="s">
        <v>11</v>
      </c>
      <c r="E1017" t="s">
        <v>229</v>
      </c>
      <c r="F1017" t="s">
        <v>1679</v>
      </c>
      <c r="G1017" t="s">
        <v>11</v>
      </c>
      <c r="H1017" t="s">
        <v>27</v>
      </c>
    </row>
    <row r="1018" spans="1:8" x14ac:dyDescent="0.3">
      <c r="A1018" s="3">
        <v>71342</v>
      </c>
      <c r="B1018" t="s">
        <v>1956</v>
      </c>
      <c r="C1018" t="s">
        <v>1958</v>
      </c>
      <c r="D1018" t="s">
        <v>11</v>
      </c>
      <c r="E1018" t="s">
        <v>85</v>
      </c>
      <c r="F1018" t="s">
        <v>1959</v>
      </c>
      <c r="G1018" t="s">
        <v>11</v>
      </c>
      <c r="H1018" t="s">
        <v>37</v>
      </c>
    </row>
    <row r="1019" spans="1:8" x14ac:dyDescent="0.3">
      <c r="A1019" s="3">
        <v>147752</v>
      </c>
      <c r="B1019" t="s">
        <v>1956</v>
      </c>
      <c r="C1019" t="s">
        <v>1960</v>
      </c>
      <c r="D1019" t="s">
        <v>11</v>
      </c>
      <c r="E1019" t="s">
        <v>16</v>
      </c>
      <c r="F1019" t="s">
        <v>1961</v>
      </c>
      <c r="G1019" t="s">
        <v>11</v>
      </c>
      <c r="H1019" t="s">
        <v>14</v>
      </c>
    </row>
    <row r="1020" spans="1:8" x14ac:dyDescent="0.3">
      <c r="A1020" s="3">
        <v>445087</v>
      </c>
      <c r="B1020" t="s">
        <v>1956</v>
      </c>
      <c r="C1020" t="s">
        <v>1962</v>
      </c>
      <c r="D1020" t="s">
        <v>11</v>
      </c>
      <c r="E1020" t="s">
        <v>872</v>
      </c>
      <c r="F1020" t="s">
        <v>1963</v>
      </c>
      <c r="G1020" t="s">
        <v>11</v>
      </c>
      <c r="H1020" t="s">
        <v>19</v>
      </c>
    </row>
    <row r="1021" spans="1:8" x14ac:dyDescent="0.3">
      <c r="A1021" s="3">
        <v>170587</v>
      </c>
      <c r="B1021" t="s">
        <v>1956</v>
      </c>
      <c r="C1021" t="s">
        <v>1183</v>
      </c>
      <c r="D1021" t="s">
        <v>19</v>
      </c>
      <c r="E1021" t="s">
        <v>43</v>
      </c>
      <c r="F1021" t="s">
        <v>1038</v>
      </c>
      <c r="G1021" t="s">
        <v>19</v>
      </c>
      <c r="H1021" t="s">
        <v>14</v>
      </c>
    </row>
    <row r="1022" spans="1:8" x14ac:dyDescent="0.3">
      <c r="A1022" s="3">
        <v>462388</v>
      </c>
      <c r="B1022" t="s">
        <v>1956</v>
      </c>
      <c r="C1022" t="s">
        <v>1964</v>
      </c>
      <c r="D1022" t="s">
        <v>11</v>
      </c>
      <c r="E1022" t="s">
        <v>229</v>
      </c>
      <c r="F1022" t="s">
        <v>1965</v>
      </c>
      <c r="G1022" t="s">
        <v>11</v>
      </c>
      <c r="H1022" t="s">
        <v>16</v>
      </c>
    </row>
    <row r="1023" spans="1:8" x14ac:dyDescent="0.3">
      <c r="A1023" s="3">
        <v>488454</v>
      </c>
      <c r="B1023" t="s">
        <v>1956</v>
      </c>
      <c r="C1023" t="s">
        <v>1966</v>
      </c>
      <c r="D1023" t="s">
        <v>11</v>
      </c>
      <c r="E1023" t="s">
        <v>74</v>
      </c>
      <c r="F1023" t="s">
        <v>1789</v>
      </c>
      <c r="G1023" t="s">
        <v>11</v>
      </c>
      <c r="H1023" t="s">
        <v>14</v>
      </c>
    </row>
    <row r="1024" spans="1:8" x14ac:dyDescent="0.3">
      <c r="A1024" s="3">
        <v>446379</v>
      </c>
      <c r="B1024" t="s">
        <v>1956</v>
      </c>
      <c r="C1024" t="s">
        <v>1967</v>
      </c>
      <c r="D1024" t="s">
        <v>11</v>
      </c>
      <c r="E1024" t="s">
        <v>142</v>
      </c>
      <c r="F1024" t="s">
        <v>1941</v>
      </c>
      <c r="G1024" t="s">
        <v>19</v>
      </c>
      <c r="H1024" t="s">
        <v>35</v>
      </c>
    </row>
    <row r="1025" spans="1:8" x14ac:dyDescent="0.3">
      <c r="A1025" s="3">
        <v>62494</v>
      </c>
      <c r="B1025" t="s">
        <v>1956</v>
      </c>
      <c r="C1025" t="s">
        <v>1968</v>
      </c>
      <c r="D1025" t="s">
        <v>11</v>
      </c>
      <c r="E1025" t="s">
        <v>226</v>
      </c>
      <c r="F1025" t="s">
        <v>1969</v>
      </c>
      <c r="G1025" t="s">
        <v>11</v>
      </c>
      <c r="H1025" t="s">
        <v>14</v>
      </c>
    </row>
    <row r="1026" spans="1:8" x14ac:dyDescent="0.3">
      <c r="A1026" s="3">
        <v>61908</v>
      </c>
      <c r="B1026" t="s">
        <v>1970</v>
      </c>
      <c r="C1026" t="s">
        <v>1971</v>
      </c>
      <c r="D1026" t="s">
        <v>11</v>
      </c>
      <c r="E1026" t="s">
        <v>1721</v>
      </c>
      <c r="F1026" t="s">
        <v>219</v>
      </c>
      <c r="G1026" t="s">
        <v>11</v>
      </c>
      <c r="H1026" t="s">
        <v>64</v>
      </c>
    </row>
    <row r="1027" spans="1:8" x14ac:dyDescent="0.3">
      <c r="A1027" s="3">
        <v>64577</v>
      </c>
      <c r="B1027" t="s">
        <v>1970</v>
      </c>
      <c r="C1027" t="s">
        <v>1972</v>
      </c>
      <c r="D1027" t="s">
        <v>11</v>
      </c>
      <c r="E1027" t="s">
        <v>43</v>
      </c>
      <c r="F1027" t="s">
        <v>1973</v>
      </c>
      <c r="G1027" t="s">
        <v>11</v>
      </c>
      <c r="H1027" t="s">
        <v>19</v>
      </c>
    </row>
    <row r="1028" spans="1:8" x14ac:dyDescent="0.3">
      <c r="A1028" s="3">
        <v>441367</v>
      </c>
      <c r="B1028" t="s">
        <v>1970</v>
      </c>
      <c r="C1028" t="s">
        <v>1974</v>
      </c>
      <c r="D1028" t="s">
        <v>11</v>
      </c>
      <c r="E1028" t="s">
        <v>105</v>
      </c>
      <c r="F1028" t="s">
        <v>1975</v>
      </c>
      <c r="G1028" t="s">
        <v>11</v>
      </c>
      <c r="H1028" t="s">
        <v>37</v>
      </c>
    </row>
    <row r="1029" spans="1:8" x14ac:dyDescent="0.3">
      <c r="A1029" s="3">
        <v>168061</v>
      </c>
      <c r="B1029" t="s">
        <v>1970</v>
      </c>
      <c r="C1029" t="s">
        <v>1976</v>
      </c>
      <c r="D1029" t="s">
        <v>11</v>
      </c>
      <c r="E1029" t="s">
        <v>1977</v>
      </c>
      <c r="F1029" t="s">
        <v>1978</v>
      </c>
      <c r="G1029" t="s">
        <v>11</v>
      </c>
      <c r="H1029" t="s">
        <v>229</v>
      </c>
    </row>
    <row r="1030" spans="1:8" x14ac:dyDescent="0.3">
      <c r="A1030" s="3">
        <v>65671</v>
      </c>
      <c r="B1030" t="s">
        <v>1970</v>
      </c>
      <c r="C1030" t="s">
        <v>1979</v>
      </c>
      <c r="D1030" t="s">
        <v>11</v>
      </c>
      <c r="E1030" t="s">
        <v>16</v>
      </c>
      <c r="F1030" t="s">
        <v>1980</v>
      </c>
      <c r="G1030" t="s">
        <v>11</v>
      </c>
      <c r="H1030" t="s">
        <v>19</v>
      </c>
    </row>
    <row r="1031" spans="1:8" x14ac:dyDescent="0.3">
      <c r="A1031" s="3">
        <v>453505</v>
      </c>
      <c r="B1031" t="s">
        <v>1970</v>
      </c>
      <c r="C1031" t="s">
        <v>1981</v>
      </c>
      <c r="D1031" t="s">
        <v>11</v>
      </c>
      <c r="E1031" t="s">
        <v>437</v>
      </c>
      <c r="F1031" t="s">
        <v>1982</v>
      </c>
      <c r="G1031" t="s">
        <v>11</v>
      </c>
      <c r="H1031" t="s">
        <v>261</v>
      </c>
    </row>
    <row r="1032" spans="1:8" x14ac:dyDescent="0.3">
      <c r="A1032" s="3">
        <v>459338</v>
      </c>
      <c r="B1032" t="s">
        <v>1970</v>
      </c>
      <c r="C1032" t="s">
        <v>1983</v>
      </c>
      <c r="D1032" t="s">
        <v>11</v>
      </c>
      <c r="E1032" t="s">
        <v>1984</v>
      </c>
      <c r="F1032" t="s">
        <v>1985</v>
      </c>
      <c r="G1032" t="s">
        <v>11</v>
      </c>
      <c r="H1032" t="s">
        <v>316</v>
      </c>
    </row>
    <row r="1033" spans="1:8" x14ac:dyDescent="0.3">
      <c r="A1033" s="3">
        <v>67137</v>
      </c>
      <c r="B1033" t="s">
        <v>1970</v>
      </c>
      <c r="C1033" t="s">
        <v>1986</v>
      </c>
      <c r="D1033" t="s">
        <v>11</v>
      </c>
      <c r="E1033" t="s">
        <v>19</v>
      </c>
      <c r="F1033" t="s">
        <v>261</v>
      </c>
      <c r="G1033" t="s">
        <v>11</v>
      </c>
      <c r="H1033" t="s">
        <v>11</v>
      </c>
    </row>
    <row r="1034" spans="1:8" x14ac:dyDescent="0.3">
      <c r="A1034" s="3">
        <v>468154</v>
      </c>
      <c r="B1034" t="s">
        <v>1970</v>
      </c>
      <c r="C1034" t="s">
        <v>386</v>
      </c>
      <c r="D1034" t="s">
        <v>11</v>
      </c>
      <c r="E1034" t="s">
        <v>97</v>
      </c>
      <c r="F1034" t="s">
        <v>505</v>
      </c>
      <c r="G1034" t="s">
        <v>11</v>
      </c>
      <c r="H1034" t="s">
        <v>261</v>
      </c>
    </row>
    <row r="1035" spans="1:8" x14ac:dyDescent="0.3">
      <c r="A1035" s="3">
        <v>70620</v>
      </c>
      <c r="B1035" t="s">
        <v>1987</v>
      </c>
      <c r="C1035" t="s">
        <v>1988</v>
      </c>
      <c r="D1035" t="s">
        <v>11</v>
      </c>
      <c r="E1035" t="s">
        <v>114</v>
      </c>
      <c r="F1035" t="s">
        <v>1989</v>
      </c>
      <c r="G1035" t="s">
        <v>11</v>
      </c>
      <c r="H1035" t="s">
        <v>27</v>
      </c>
    </row>
    <row r="1036" spans="1:8" x14ac:dyDescent="0.3">
      <c r="A1036" s="3">
        <v>446831</v>
      </c>
      <c r="B1036" t="s">
        <v>1987</v>
      </c>
      <c r="C1036" t="s">
        <v>1990</v>
      </c>
      <c r="D1036" t="s">
        <v>11</v>
      </c>
      <c r="E1036" t="s">
        <v>825</v>
      </c>
      <c r="F1036" t="s">
        <v>355</v>
      </c>
      <c r="G1036" t="s">
        <v>11</v>
      </c>
      <c r="H1036" t="s">
        <v>19</v>
      </c>
    </row>
    <row r="1037" spans="1:8" x14ac:dyDescent="0.3">
      <c r="A1037" s="3">
        <v>66473</v>
      </c>
      <c r="B1037" t="s">
        <v>1987</v>
      </c>
      <c r="C1037" t="s">
        <v>1991</v>
      </c>
      <c r="D1037" t="s">
        <v>11</v>
      </c>
      <c r="E1037" t="s">
        <v>1992</v>
      </c>
      <c r="F1037" t="s">
        <v>1627</v>
      </c>
      <c r="G1037" t="s">
        <v>11</v>
      </c>
      <c r="H1037" t="s">
        <v>250</v>
      </c>
    </row>
    <row r="1038" spans="1:8" x14ac:dyDescent="0.3">
      <c r="A1038" s="3">
        <v>65690</v>
      </c>
      <c r="B1038" t="s">
        <v>1987</v>
      </c>
      <c r="C1038" t="s">
        <v>1993</v>
      </c>
      <c r="D1038" t="s">
        <v>11</v>
      </c>
      <c r="E1038" t="s">
        <v>472</v>
      </c>
      <c r="F1038" t="s">
        <v>747</v>
      </c>
      <c r="G1038" t="s">
        <v>11</v>
      </c>
      <c r="H1038" t="s">
        <v>37</v>
      </c>
    </row>
    <row r="1039" spans="1:8" x14ac:dyDescent="0.3">
      <c r="A1039" s="3">
        <v>66519</v>
      </c>
      <c r="B1039" t="s">
        <v>1987</v>
      </c>
      <c r="C1039" t="s">
        <v>1994</v>
      </c>
      <c r="D1039" t="s">
        <v>11</v>
      </c>
      <c r="E1039" t="s">
        <v>497</v>
      </c>
      <c r="F1039" t="s">
        <v>1995</v>
      </c>
      <c r="G1039" t="s">
        <v>11</v>
      </c>
      <c r="H1039" t="s">
        <v>69</v>
      </c>
    </row>
    <row r="1040" spans="1:8" x14ac:dyDescent="0.3">
      <c r="A1040" s="3">
        <v>169758</v>
      </c>
      <c r="B1040" t="s">
        <v>1987</v>
      </c>
      <c r="C1040" t="s">
        <v>8</v>
      </c>
      <c r="D1040" t="s">
        <v>8</v>
      </c>
      <c r="E1040" t="s">
        <v>8</v>
      </c>
      <c r="F1040" t="s">
        <v>8</v>
      </c>
      <c r="G1040" t="s">
        <v>8</v>
      </c>
      <c r="H1040" t="s">
        <v>8</v>
      </c>
    </row>
    <row r="1041" spans="1:8" x14ac:dyDescent="0.3">
      <c r="A1041" s="3">
        <v>64624</v>
      </c>
      <c r="B1041" t="s">
        <v>1987</v>
      </c>
      <c r="C1041" t="s">
        <v>1996</v>
      </c>
      <c r="D1041" t="s">
        <v>11</v>
      </c>
      <c r="E1041" t="s">
        <v>472</v>
      </c>
      <c r="F1041" t="s">
        <v>1997</v>
      </c>
      <c r="G1041" t="s">
        <v>11</v>
      </c>
      <c r="H1041" t="s">
        <v>37</v>
      </c>
    </row>
    <row r="1042" spans="1:8" x14ac:dyDescent="0.3">
      <c r="A1042" s="3">
        <v>59463</v>
      </c>
      <c r="B1042" t="s">
        <v>1987</v>
      </c>
      <c r="C1042" t="s">
        <v>1998</v>
      </c>
      <c r="D1042" t="s">
        <v>11</v>
      </c>
      <c r="E1042" t="s">
        <v>900</v>
      </c>
      <c r="F1042" t="s">
        <v>1197</v>
      </c>
      <c r="G1042" t="s">
        <v>11</v>
      </c>
      <c r="H1042" t="s">
        <v>35</v>
      </c>
    </row>
    <row r="1043" spans="1:8" x14ac:dyDescent="0.3">
      <c r="A1043" s="3">
        <v>62516</v>
      </c>
      <c r="B1043" t="s">
        <v>1999</v>
      </c>
      <c r="C1043" t="s">
        <v>2000</v>
      </c>
      <c r="D1043" t="s">
        <v>19</v>
      </c>
      <c r="E1043" t="s">
        <v>27</v>
      </c>
      <c r="F1043" t="s">
        <v>2001</v>
      </c>
      <c r="G1043" t="s">
        <v>19</v>
      </c>
      <c r="H1043" t="s">
        <v>27</v>
      </c>
    </row>
    <row r="1044" spans="1:8" x14ac:dyDescent="0.3">
      <c r="A1044" s="3">
        <v>452290</v>
      </c>
      <c r="B1044" t="s">
        <v>1999</v>
      </c>
      <c r="C1044" t="s">
        <v>2002</v>
      </c>
      <c r="D1044" t="s">
        <v>11</v>
      </c>
      <c r="E1044" t="s">
        <v>343</v>
      </c>
      <c r="F1044" t="s">
        <v>2003</v>
      </c>
      <c r="G1044" t="s">
        <v>11</v>
      </c>
      <c r="H1044" t="s">
        <v>261</v>
      </c>
    </row>
    <row r="1045" spans="1:8" x14ac:dyDescent="0.3">
      <c r="A1045" s="3">
        <v>61244</v>
      </c>
      <c r="B1045" t="s">
        <v>1999</v>
      </c>
      <c r="C1045" t="s">
        <v>2004</v>
      </c>
      <c r="D1045" t="s">
        <v>11</v>
      </c>
      <c r="E1045" t="s">
        <v>11</v>
      </c>
      <c r="F1045" t="s">
        <v>371</v>
      </c>
      <c r="G1045" t="s">
        <v>11</v>
      </c>
      <c r="H1045" t="s">
        <v>11</v>
      </c>
    </row>
    <row r="1046" spans="1:8" x14ac:dyDescent="0.3">
      <c r="A1046" s="3">
        <v>62941</v>
      </c>
      <c r="B1046" t="s">
        <v>1999</v>
      </c>
      <c r="C1046" t="s">
        <v>2005</v>
      </c>
      <c r="D1046" t="s">
        <v>11</v>
      </c>
      <c r="E1046" t="s">
        <v>900</v>
      </c>
      <c r="F1046" t="s">
        <v>2006</v>
      </c>
      <c r="G1046" t="s">
        <v>11</v>
      </c>
      <c r="H1046" t="s">
        <v>35</v>
      </c>
    </row>
    <row r="1047" spans="1:8" x14ac:dyDescent="0.3">
      <c r="A1047" s="3">
        <v>92288</v>
      </c>
      <c r="B1047" t="s">
        <v>1999</v>
      </c>
      <c r="C1047" t="s">
        <v>2007</v>
      </c>
      <c r="D1047" t="s">
        <v>11</v>
      </c>
      <c r="E1047" t="s">
        <v>250</v>
      </c>
      <c r="F1047" t="s">
        <v>1074</v>
      </c>
      <c r="G1047" t="s">
        <v>11</v>
      </c>
      <c r="H1047" t="s">
        <v>19</v>
      </c>
    </row>
    <row r="1048" spans="1:8" x14ac:dyDescent="0.3">
      <c r="A1048" s="3">
        <v>71498</v>
      </c>
      <c r="B1048" t="s">
        <v>1999</v>
      </c>
      <c r="C1048" t="s">
        <v>2008</v>
      </c>
      <c r="D1048" t="s">
        <v>11</v>
      </c>
      <c r="E1048" t="s">
        <v>64</v>
      </c>
      <c r="F1048" t="s">
        <v>2009</v>
      </c>
      <c r="G1048" t="s">
        <v>11</v>
      </c>
      <c r="H1048" t="s">
        <v>19</v>
      </c>
    </row>
    <row r="1049" spans="1:8" x14ac:dyDescent="0.3">
      <c r="A1049" s="3">
        <v>450540</v>
      </c>
      <c r="B1049" t="s">
        <v>1999</v>
      </c>
      <c r="C1049" t="s">
        <v>2010</v>
      </c>
      <c r="D1049" t="s">
        <v>11</v>
      </c>
      <c r="E1049" t="s">
        <v>35</v>
      </c>
      <c r="F1049" t="s">
        <v>1877</v>
      </c>
      <c r="G1049" t="s">
        <v>11</v>
      </c>
      <c r="H1049" t="s">
        <v>19</v>
      </c>
    </row>
    <row r="1050" spans="1:8" x14ac:dyDescent="0.3">
      <c r="A1050" s="3">
        <v>465283</v>
      </c>
      <c r="B1050" t="s">
        <v>1999</v>
      </c>
      <c r="C1050" t="s">
        <v>2011</v>
      </c>
      <c r="D1050" t="s">
        <v>11</v>
      </c>
      <c r="E1050" t="s">
        <v>2012</v>
      </c>
      <c r="F1050" t="s">
        <v>2013</v>
      </c>
      <c r="G1050" t="s">
        <v>11</v>
      </c>
      <c r="H1050" t="s">
        <v>2014</v>
      </c>
    </row>
    <row r="1051" spans="1:8" x14ac:dyDescent="0.3">
      <c r="A1051" s="3">
        <v>789131</v>
      </c>
      <c r="B1051" t="s">
        <v>1999</v>
      </c>
      <c r="C1051" t="s">
        <v>2015</v>
      </c>
      <c r="D1051" t="s">
        <v>11</v>
      </c>
      <c r="E1051" t="s">
        <v>54</v>
      </c>
      <c r="F1051" t="s">
        <v>1047</v>
      </c>
      <c r="G1051" t="s">
        <v>11</v>
      </c>
      <c r="H1051" t="s">
        <v>19</v>
      </c>
    </row>
    <row r="1052" spans="1:8" x14ac:dyDescent="0.3">
      <c r="A1052" s="3">
        <v>441503</v>
      </c>
      <c r="B1052" t="s">
        <v>2016</v>
      </c>
      <c r="C1052" t="s">
        <v>2017</v>
      </c>
      <c r="D1052" t="s">
        <v>11</v>
      </c>
      <c r="E1052" t="s">
        <v>152</v>
      </c>
      <c r="F1052" t="s">
        <v>2018</v>
      </c>
      <c r="G1052" t="s">
        <v>11</v>
      </c>
      <c r="H1052" t="s">
        <v>37</v>
      </c>
    </row>
    <row r="1053" spans="1:8" x14ac:dyDescent="0.3">
      <c r="A1053" s="3">
        <v>453204</v>
      </c>
      <c r="B1053" t="s">
        <v>2016</v>
      </c>
      <c r="C1053" t="s">
        <v>2019</v>
      </c>
      <c r="D1053" t="s">
        <v>11</v>
      </c>
      <c r="E1053" t="s">
        <v>20</v>
      </c>
      <c r="F1053" t="s">
        <v>2020</v>
      </c>
      <c r="G1053" t="s">
        <v>11</v>
      </c>
      <c r="H1053" t="s">
        <v>16</v>
      </c>
    </row>
    <row r="1054" spans="1:8" x14ac:dyDescent="0.3">
      <c r="A1054" s="3">
        <v>463986</v>
      </c>
      <c r="B1054" t="s">
        <v>2016</v>
      </c>
      <c r="C1054" t="s">
        <v>2021</v>
      </c>
      <c r="D1054" t="s">
        <v>11</v>
      </c>
      <c r="E1054" t="s">
        <v>22</v>
      </c>
      <c r="F1054" t="s">
        <v>1385</v>
      </c>
      <c r="G1054" t="s">
        <v>11</v>
      </c>
      <c r="H1054" t="s">
        <v>35</v>
      </c>
    </row>
    <row r="1055" spans="1:8" x14ac:dyDescent="0.3">
      <c r="A1055" s="3">
        <v>168136</v>
      </c>
      <c r="B1055" t="s">
        <v>2016</v>
      </c>
      <c r="C1055" t="s">
        <v>2022</v>
      </c>
      <c r="D1055" t="s">
        <v>11</v>
      </c>
      <c r="E1055" t="s">
        <v>74</v>
      </c>
      <c r="F1055" t="s">
        <v>1474</v>
      </c>
      <c r="G1055" t="s">
        <v>11</v>
      </c>
      <c r="H1055" t="s">
        <v>27</v>
      </c>
    </row>
    <row r="1056" spans="1:8" x14ac:dyDescent="0.3">
      <c r="A1056" s="3">
        <v>453586</v>
      </c>
      <c r="B1056" t="s">
        <v>2016</v>
      </c>
      <c r="C1056" t="s">
        <v>2023</v>
      </c>
      <c r="D1056" t="s">
        <v>11</v>
      </c>
      <c r="E1056" t="s">
        <v>1399</v>
      </c>
      <c r="F1056" t="s">
        <v>933</v>
      </c>
      <c r="G1056" t="s">
        <v>11</v>
      </c>
      <c r="H1056" t="s">
        <v>35</v>
      </c>
    </row>
    <row r="1057" spans="1:8" x14ac:dyDescent="0.3">
      <c r="A1057" s="3">
        <v>44513</v>
      </c>
      <c r="B1057" t="s">
        <v>2016</v>
      </c>
      <c r="C1057" t="s">
        <v>360</v>
      </c>
      <c r="D1057" t="s">
        <v>11</v>
      </c>
      <c r="E1057" t="s">
        <v>46</v>
      </c>
      <c r="F1057" t="s">
        <v>277</v>
      </c>
      <c r="G1057" t="s">
        <v>11</v>
      </c>
      <c r="H1057" t="s">
        <v>19</v>
      </c>
    </row>
    <row r="1058" spans="1:8" x14ac:dyDescent="0.3">
      <c r="A1058" s="3">
        <v>62564</v>
      </c>
      <c r="B1058" t="s">
        <v>2016</v>
      </c>
      <c r="C1058" t="s">
        <v>2024</v>
      </c>
      <c r="D1058" t="s">
        <v>19</v>
      </c>
      <c r="E1058" t="s">
        <v>343</v>
      </c>
      <c r="F1058" t="s">
        <v>2025</v>
      </c>
      <c r="G1058" t="s">
        <v>19</v>
      </c>
      <c r="H1058" t="s">
        <v>35</v>
      </c>
    </row>
    <row r="1059" spans="1:8" x14ac:dyDescent="0.3">
      <c r="A1059" s="3">
        <v>156497</v>
      </c>
      <c r="B1059" t="s">
        <v>2016</v>
      </c>
      <c r="C1059" t="s">
        <v>562</v>
      </c>
      <c r="D1059" t="s">
        <v>11</v>
      </c>
      <c r="E1059" t="s">
        <v>383</v>
      </c>
      <c r="F1059" t="s">
        <v>2026</v>
      </c>
      <c r="G1059" t="s">
        <v>11</v>
      </c>
      <c r="H1059" t="s">
        <v>99</v>
      </c>
    </row>
    <row r="1060" spans="1:8" x14ac:dyDescent="0.3">
      <c r="A1060" s="3">
        <v>49011</v>
      </c>
      <c r="B1060" t="s">
        <v>2016</v>
      </c>
      <c r="C1060" t="s">
        <v>2027</v>
      </c>
      <c r="D1060" t="s">
        <v>11</v>
      </c>
      <c r="E1060" t="s">
        <v>1627</v>
      </c>
      <c r="F1060" t="s">
        <v>1717</v>
      </c>
      <c r="G1060" t="s">
        <v>11</v>
      </c>
      <c r="H1060" t="s">
        <v>383</v>
      </c>
    </row>
    <row r="1061" spans="1:8" x14ac:dyDescent="0.3">
      <c r="A1061" s="3">
        <v>468192</v>
      </c>
      <c r="B1061" t="s">
        <v>2028</v>
      </c>
      <c r="C1061" t="s">
        <v>2029</v>
      </c>
      <c r="D1061" t="s">
        <v>11</v>
      </c>
      <c r="E1061" t="s">
        <v>35</v>
      </c>
      <c r="F1061" t="s">
        <v>287</v>
      </c>
      <c r="G1061" t="s">
        <v>11</v>
      </c>
      <c r="H1061" t="s">
        <v>19</v>
      </c>
    </row>
    <row r="1062" spans="1:8" x14ac:dyDescent="0.3">
      <c r="A1062" s="3">
        <v>55281</v>
      </c>
      <c r="B1062" t="s">
        <v>2028</v>
      </c>
      <c r="C1062" t="s">
        <v>248</v>
      </c>
      <c r="D1062" t="s">
        <v>11</v>
      </c>
      <c r="E1062" t="s">
        <v>152</v>
      </c>
      <c r="F1062" t="s">
        <v>2030</v>
      </c>
      <c r="G1062" t="s">
        <v>11</v>
      </c>
      <c r="H1062" t="s">
        <v>27</v>
      </c>
    </row>
    <row r="1063" spans="1:8" x14ac:dyDescent="0.3">
      <c r="A1063" s="3">
        <v>463378</v>
      </c>
      <c r="B1063" t="s">
        <v>2028</v>
      </c>
      <c r="C1063" t="s">
        <v>2031</v>
      </c>
      <c r="D1063" t="s">
        <v>11</v>
      </c>
      <c r="E1063" t="s">
        <v>643</v>
      </c>
      <c r="F1063" t="s">
        <v>1125</v>
      </c>
      <c r="G1063" t="s">
        <v>11</v>
      </c>
      <c r="H1063" t="s">
        <v>74</v>
      </c>
    </row>
    <row r="1064" spans="1:8" x14ac:dyDescent="0.3">
      <c r="A1064" s="3">
        <v>62960</v>
      </c>
      <c r="B1064" t="s">
        <v>2028</v>
      </c>
      <c r="C1064" t="s">
        <v>2032</v>
      </c>
      <c r="D1064" t="s">
        <v>11</v>
      </c>
      <c r="E1064" t="s">
        <v>99</v>
      </c>
      <c r="F1064" t="s">
        <v>2033</v>
      </c>
      <c r="G1064" t="s">
        <v>11</v>
      </c>
      <c r="H1064" t="s">
        <v>19</v>
      </c>
    </row>
    <row r="1065" spans="1:8" x14ac:dyDescent="0.3">
      <c r="A1065" s="3">
        <v>55422</v>
      </c>
      <c r="B1065" t="s">
        <v>2028</v>
      </c>
      <c r="C1065" t="s">
        <v>2034</v>
      </c>
      <c r="D1065" t="s">
        <v>11</v>
      </c>
      <c r="E1065" t="s">
        <v>94</v>
      </c>
      <c r="F1065" t="s">
        <v>2035</v>
      </c>
      <c r="G1065" t="s">
        <v>11</v>
      </c>
      <c r="H1065" t="s">
        <v>107</v>
      </c>
    </row>
    <row r="1066" spans="1:8" x14ac:dyDescent="0.3">
      <c r="A1066" s="3">
        <v>60485</v>
      </c>
      <c r="B1066" t="s">
        <v>2028</v>
      </c>
      <c r="C1066" t="s">
        <v>2031</v>
      </c>
      <c r="D1066" t="s">
        <v>19</v>
      </c>
      <c r="E1066" t="s">
        <v>271</v>
      </c>
      <c r="F1066" t="s">
        <v>2036</v>
      </c>
      <c r="G1066" t="s">
        <v>19</v>
      </c>
      <c r="H1066" t="s">
        <v>105</v>
      </c>
    </row>
    <row r="1067" spans="1:8" x14ac:dyDescent="0.3">
      <c r="A1067" s="3">
        <v>58699</v>
      </c>
      <c r="B1067" t="s">
        <v>2028</v>
      </c>
      <c r="C1067" t="s">
        <v>335</v>
      </c>
      <c r="D1067" t="s">
        <v>19</v>
      </c>
      <c r="E1067" t="s">
        <v>253</v>
      </c>
      <c r="F1067" t="s">
        <v>2037</v>
      </c>
      <c r="G1067" t="s">
        <v>19</v>
      </c>
      <c r="H1067" t="s">
        <v>27</v>
      </c>
    </row>
    <row r="1068" spans="1:8" x14ac:dyDescent="0.3">
      <c r="A1068" s="3">
        <v>59788</v>
      </c>
      <c r="B1068" t="s">
        <v>2028</v>
      </c>
      <c r="C1068" t="s">
        <v>2038</v>
      </c>
      <c r="D1068" t="s">
        <v>11</v>
      </c>
      <c r="E1068" t="s">
        <v>64</v>
      </c>
      <c r="F1068" t="s">
        <v>2039</v>
      </c>
      <c r="G1068" t="s">
        <v>11</v>
      </c>
      <c r="H1068" t="s">
        <v>19</v>
      </c>
    </row>
    <row r="1069" spans="1:8" x14ac:dyDescent="0.3">
      <c r="A1069" s="3">
        <v>558461</v>
      </c>
      <c r="B1069" t="s">
        <v>2028</v>
      </c>
      <c r="C1069" t="s">
        <v>2040</v>
      </c>
      <c r="D1069" t="s">
        <v>11</v>
      </c>
      <c r="E1069" t="s">
        <v>1449</v>
      </c>
      <c r="F1069" t="s">
        <v>2041</v>
      </c>
      <c r="G1069" t="s">
        <v>11</v>
      </c>
      <c r="H1069" t="s">
        <v>661</v>
      </c>
    </row>
    <row r="1070" spans="1:8" x14ac:dyDescent="0.3">
      <c r="A1070" s="3">
        <v>441386</v>
      </c>
      <c r="B1070" t="s">
        <v>2042</v>
      </c>
      <c r="C1070" t="s">
        <v>2043</v>
      </c>
      <c r="D1070" t="s">
        <v>11</v>
      </c>
      <c r="E1070" t="s">
        <v>678</v>
      </c>
      <c r="F1070" t="s">
        <v>2044</v>
      </c>
      <c r="G1070" t="s">
        <v>11</v>
      </c>
      <c r="H1070" t="s">
        <v>152</v>
      </c>
    </row>
    <row r="1071" spans="1:8" x14ac:dyDescent="0.3">
      <c r="A1071" s="3">
        <v>463991</v>
      </c>
      <c r="B1071" t="s">
        <v>2042</v>
      </c>
      <c r="C1071" t="s">
        <v>2045</v>
      </c>
      <c r="D1071" t="s">
        <v>11</v>
      </c>
      <c r="E1071" t="s">
        <v>256</v>
      </c>
      <c r="F1071" t="s">
        <v>1321</v>
      </c>
      <c r="G1071" t="s">
        <v>11</v>
      </c>
      <c r="H1071" t="s">
        <v>37</v>
      </c>
    </row>
    <row r="1072" spans="1:8" x14ac:dyDescent="0.3">
      <c r="A1072" s="3">
        <v>463463</v>
      </c>
      <c r="B1072" t="s">
        <v>2042</v>
      </c>
      <c r="C1072" t="s">
        <v>2046</v>
      </c>
      <c r="D1072" t="s">
        <v>11</v>
      </c>
      <c r="E1072" t="s">
        <v>906</v>
      </c>
      <c r="F1072" t="s">
        <v>2047</v>
      </c>
      <c r="G1072" t="s">
        <v>11</v>
      </c>
      <c r="H1072" t="s">
        <v>46</v>
      </c>
    </row>
    <row r="1073" spans="1:8" x14ac:dyDescent="0.3">
      <c r="A1073" s="3">
        <v>149082</v>
      </c>
      <c r="B1073" t="s">
        <v>2042</v>
      </c>
      <c r="C1073" t="s">
        <v>2048</v>
      </c>
      <c r="D1073" t="s">
        <v>19</v>
      </c>
      <c r="E1073" t="s">
        <v>2049</v>
      </c>
      <c r="F1073" t="s">
        <v>63</v>
      </c>
      <c r="G1073" t="s">
        <v>19</v>
      </c>
      <c r="H1073" t="s">
        <v>530</v>
      </c>
    </row>
    <row r="1074" spans="1:8" x14ac:dyDescent="0.3">
      <c r="A1074" s="3">
        <v>156812</v>
      </c>
      <c r="B1074" t="s">
        <v>2042</v>
      </c>
      <c r="C1074" t="s">
        <v>2050</v>
      </c>
      <c r="D1074" t="s">
        <v>11</v>
      </c>
      <c r="E1074" t="s">
        <v>256</v>
      </c>
      <c r="F1074" t="s">
        <v>2051</v>
      </c>
      <c r="G1074" t="s">
        <v>11</v>
      </c>
      <c r="H1074" t="s">
        <v>37</v>
      </c>
    </row>
    <row r="1075" spans="1:8" x14ac:dyDescent="0.3">
      <c r="A1075" s="3">
        <v>62842</v>
      </c>
      <c r="B1075" t="s">
        <v>2042</v>
      </c>
      <c r="C1075" t="s">
        <v>2052</v>
      </c>
      <c r="D1075" t="s">
        <v>11</v>
      </c>
      <c r="E1075" t="s">
        <v>530</v>
      </c>
      <c r="F1075" t="s">
        <v>2053</v>
      </c>
      <c r="G1075" t="s">
        <v>11</v>
      </c>
      <c r="H1075" t="s">
        <v>37</v>
      </c>
    </row>
    <row r="1076" spans="1:8" x14ac:dyDescent="0.3">
      <c r="A1076" s="3">
        <v>446812</v>
      </c>
      <c r="B1076" t="s">
        <v>2042</v>
      </c>
      <c r="C1076" t="s">
        <v>2054</v>
      </c>
      <c r="D1076" t="s">
        <v>19</v>
      </c>
      <c r="E1076" t="s">
        <v>439</v>
      </c>
      <c r="F1076" t="s">
        <v>1232</v>
      </c>
      <c r="G1076" t="s">
        <v>19</v>
      </c>
      <c r="H1076" t="s">
        <v>85</v>
      </c>
    </row>
    <row r="1077" spans="1:8" x14ac:dyDescent="0.3">
      <c r="A1077" s="3">
        <v>64105</v>
      </c>
      <c r="B1077" t="s">
        <v>2042</v>
      </c>
      <c r="C1077" t="s">
        <v>2055</v>
      </c>
      <c r="D1077" t="s">
        <v>19</v>
      </c>
      <c r="E1077" t="s">
        <v>1091</v>
      </c>
      <c r="F1077" t="s">
        <v>2056</v>
      </c>
      <c r="G1077" t="s">
        <v>19</v>
      </c>
      <c r="H1077" t="s">
        <v>43</v>
      </c>
    </row>
    <row r="1078" spans="1:8" x14ac:dyDescent="0.3">
      <c r="A1078" s="3">
        <v>460756</v>
      </c>
      <c r="B1078" t="s">
        <v>2042</v>
      </c>
      <c r="C1078" t="s">
        <v>2057</v>
      </c>
      <c r="D1078" t="s">
        <v>11</v>
      </c>
      <c r="E1078" t="s">
        <v>2058</v>
      </c>
      <c r="F1078" t="s">
        <v>2059</v>
      </c>
      <c r="G1078" t="s">
        <v>11</v>
      </c>
      <c r="H1078" t="s">
        <v>250</v>
      </c>
    </row>
    <row r="1079" spans="1:8" x14ac:dyDescent="0.3">
      <c r="A1079" s="3">
        <v>486389</v>
      </c>
      <c r="B1079" t="s">
        <v>2060</v>
      </c>
      <c r="C1079" t="s">
        <v>231</v>
      </c>
      <c r="D1079" t="s">
        <v>11</v>
      </c>
      <c r="E1079" t="s">
        <v>170</v>
      </c>
      <c r="F1079" t="s">
        <v>254</v>
      </c>
      <c r="G1079" t="s">
        <v>11</v>
      </c>
      <c r="H1079" t="s">
        <v>27</v>
      </c>
    </row>
    <row r="1080" spans="1:8" x14ac:dyDescent="0.3">
      <c r="A1080" s="3">
        <v>70470</v>
      </c>
      <c r="B1080" t="s">
        <v>2060</v>
      </c>
      <c r="C1080" t="s">
        <v>2061</v>
      </c>
      <c r="D1080" t="s">
        <v>11</v>
      </c>
      <c r="E1080" t="s">
        <v>1132</v>
      </c>
      <c r="F1080" t="s">
        <v>2062</v>
      </c>
      <c r="G1080" t="s">
        <v>11</v>
      </c>
      <c r="H1080" t="s">
        <v>16</v>
      </c>
    </row>
    <row r="1081" spans="1:8" x14ac:dyDescent="0.3">
      <c r="A1081" s="3">
        <v>459324</v>
      </c>
      <c r="B1081" t="s">
        <v>2060</v>
      </c>
      <c r="C1081" t="s">
        <v>2063</v>
      </c>
      <c r="D1081" t="s">
        <v>11</v>
      </c>
      <c r="E1081" t="s">
        <v>1177</v>
      </c>
      <c r="F1081" t="s">
        <v>2064</v>
      </c>
      <c r="G1081" t="s">
        <v>11</v>
      </c>
      <c r="H1081" t="s">
        <v>170</v>
      </c>
    </row>
    <row r="1082" spans="1:8" x14ac:dyDescent="0.3">
      <c r="A1082" s="3">
        <v>150358</v>
      </c>
      <c r="B1082" t="s">
        <v>2060</v>
      </c>
      <c r="C1082" t="s">
        <v>2065</v>
      </c>
      <c r="D1082" t="s">
        <v>11</v>
      </c>
      <c r="E1082" t="s">
        <v>672</v>
      </c>
      <c r="F1082" t="s">
        <v>2066</v>
      </c>
      <c r="G1082" t="s">
        <v>11</v>
      </c>
      <c r="H1082" t="s">
        <v>16</v>
      </c>
    </row>
    <row r="1083" spans="1:8" x14ac:dyDescent="0.3">
      <c r="A1083" s="3">
        <v>65341</v>
      </c>
      <c r="B1083" t="s">
        <v>2060</v>
      </c>
      <c r="C1083" t="s">
        <v>2067</v>
      </c>
      <c r="D1083" t="s">
        <v>11</v>
      </c>
      <c r="E1083" t="s">
        <v>2068</v>
      </c>
      <c r="F1083" t="s">
        <v>2069</v>
      </c>
      <c r="G1083" t="s">
        <v>11</v>
      </c>
      <c r="H1083" t="s">
        <v>31</v>
      </c>
    </row>
    <row r="1084" spans="1:8" x14ac:dyDescent="0.3">
      <c r="A1084" s="3">
        <v>350908</v>
      </c>
      <c r="B1084" t="s">
        <v>2060</v>
      </c>
      <c r="C1084" t="s">
        <v>2070</v>
      </c>
      <c r="D1084" t="s">
        <v>19</v>
      </c>
      <c r="E1084" t="s">
        <v>105</v>
      </c>
      <c r="F1084" t="s">
        <v>2071</v>
      </c>
      <c r="G1084" t="s">
        <v>19</v>
      </c>
      <c r="H108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641C-06C9-4C85-9A85-77F73CCFD5C7}">
  <dimension ref="A1:G1083"/>
  <sheetViews>
    <sheetView topLeftCell="A998" workbookViewId="0">
      <selection activeCell="B1" sqref="B1:G1083"/>
    </sheetView>
  </sheetViews>
  <sheetFormatPr baseColWidth="10" defaultRowHeight="14.4" x14ac:dyDescent="0.3"/>
  <sheetData>
    <row r="1" spans="1:7" x14ac:dyDescent="0.3">
      <c r="A1" s="1">
        <v>74270</v>
      </c>
      <c r="B1" t="str">
        <f>VLOOKUP(A1,Datos!$A$2:$H$1084,3,FALSE)</f>
        <v>50.11</v>
      </c>
      <c r="C1" t="str">
        <f>VLOOKUP(A1,Datos!$A$2:$H$1084,4,FALSE)</f>
        <v>0.00</v>
      </c>
      <c r="D1" t="str">
        <f>VLOOKUP(A1,Datos!$A$2:$H$1084,5,FALSE)</f>
        <v>0.24</v>
      </c>
      <c r="E1" t="str">
        <f>VLOOKUP(A1,Datos!$A$2:$H$1084,6,FALSE)</f>
        <v>6.05</v>
      </c>
      <c r="F1" t="str">
        <f>VLOOKUP(A1,Datos!$A$2:$H$1084,7,FALSE)</f>
        <v>0.00</v>
      </c>
      <c r="G1" t="str">
        <f>VLOOKUP(A1,Datos!$A$2:$H$1084,8,FALSE)</f>
        <v>0.02</v>
      </c>
    </row>
    <row r="2" spans="1:7" x14ac:dyDescent="0.3">
      <c r="A2" s="1">
        <v>529746</v>
      </c>
      <c r="B2" t="str">
        <f>VLOOKUP(A2,Datos!$A$2:$H$1084,3,FALSE)</f>
        <v>26.32</v>
      </c>
      <c r="C2" t="str">
        <f>VLOOKUP(A2,Datos!$A$2:$H$1084,4,FALSE)</f>
        <v>0.00</v>
      </c>
      <c r="D2" t="str">
        <f>VLOOKUP(A2,Datos!$A$2:$H$1084,5,FALSE)</f>
        <v>0.06</v>
      </c>
      <c r="E2" t="str">
        <f>VLOOKUP(A2,Datos!$A$2:$H$1084,6,FALSE)</f>
        <v>9.54</v>
      </c>
      <c r="F2" t="str">
        <f>VLOOKUP(A2,Datos!$A$2:$H$1084,7,FALSE)</f>
        <v>0.00</v>
      </c>
      <c r="G2" t="str">
        <f>VLOOKUP(A2,Datos!$A$2:$H$1084,8,FALSE)</f>
        <v>0.02</v>
      </c>
    </row>
    <row r="3" spans="1:7" x14ac:dyDescent="0.3">
      <c r="A3" s="1">
        <v>166444</v>
      </c>
      <c r="B3" t="str">
        <f>VLOOKUP(A3,Datos!$A$2:$H$1084,3,FALSE)</f>
        <v>31.20</v>
      </c>
      <c r="C3" t="str">
        <f>VLOOKUP(A3,Datos!$A$2:$H$1084,4,FALSE)</f>
        <v>0.01</v>
      </c>
      <c r="D3" t="str">
        <f>VLOOKUP(A3,Datos!$A$2:$H$1084,5,FALSE)</f>
        <v>0.02</v>
      </c>
      <c r="E3" t="str">
        <f>VLOOKUP(A3,Datos!$A$2:$H$1084,6,FALSE)</f>
        <v>1.68</v>
      </c>
      <c r="F3" t="str">
        <f>VLOOKUP(A3,Datos!$A$2:$H$1084,7,FALSE)</f>
        <v>0.01</v>
      </c>
      <c r="G3" t="str">
        <f>VLOOKUP(A3,Datos!$A$2:$H$1084,8,FALSE)</f>
        <v>0.01</v>
      </c>
    </row>
    <row r="4" spans="1:7" x14ac:dyDescent="0.3">
      <c r="A4" s="1">
        <v>59514</v>
      </c>
      <c r="B4" t="str">
        <f>VLOOKUP(A4,Datos!$A$2:$H$1084,3,FALSE)</f>
        <v>30.21</v>
      </c>
      <c r="C4" t="str">
        <f>VLOOKUP(A4,Datos!$A$2:$H$1084,4,FALSE)</f>
        <v>0.00</v>
      </c>
      <c r="D4" t="str">
        <f>VLOOKUP(A4,Datos!$A$2:$H$1084,5,FALSE)</f>
        <v>0.27</v>
      </c>
      <c r="E4" t="str">
        <f>VLOOKUP(A4,Datos!$A$2:$H$1084,6,FALSE)</f>
        <v>1.05</v>
      </c>
      <c r="F4" t="str">
        <f>VLOOKUP(A4,Datos!$A$2:$H$1084,7,FALSE)</f>
        <v>0.00</v>
      </c>
      <c r="G4" t="str">
        <f>VLOOKUP(A4,Datos!$A$2:$H$1084,8,FALSE)</f>
        <v>0.02</v>
      </c>
    </row>
    <row r="5" spans="1:7" x14ac:dyDescent="0.3">
      <c r="A5" s="1">
        <v>154120</v>
      </c>
      <c r="B5" t="str">
        <f>VLOOKUP(A5,Datos!$A$2:$H$1084,3,FALSE)</f>
        <v>75.50</v>
      </c>
      <c r="C5" t="str">
        <f>VLOOKUP(A5,Datos!$A$2:$H$1084,4,FALSE)</f>
        <v>0.00</v>
      </c>
      <c r="D5" t="str">
        <f>VLOOKUP(A5,Datos!$A$2:$H$1084,5,FALSE)</f>
        <v>0.45</v>
      </c>
      <c r="E5" t="str">
        <f>VLOOKUP(A5,Datos!$A$2:$H$1084,6,FALSE)</f>
        <v>22.89</v>
      </c>
      <c r="F5" t="str">
        <f>VLOOKUP(A5,Datos!$A$2:$H$1084,7,FALSE)</f>
        <v>0.00</v>
      </c>
      <c r="G5" t="str">
        <f>VLOOKUP(A5,Datos!$A$2:$H$1084,8,FALSE)</f>
        <v>0.03</v>
      </c>
    </row>
    <row r="6" spans="1:7" x14ac:dyDescent="0.3">
      <c r="A6" s="1">
        <v>462468</v>
      </c>
      <c r="B6" t="str">
        <f>VLOOKUP(A6,Datos!$A$2:$H$1084,3,FALSE)</f>
        <v>137.33</v>
      </c>
      <c r="C6" t="str">
        <f>VLOOKUP(A6,Datos!$A$2:$H$1084,4,FALSE)</f>
        <v>0.00</v>
      </c>
      <c r="D6" t="str">
        <f>VLOOKUP(A6,Datos!$A$2:$H$1084,5,FALSE)</f>
        <v>1.32</v>
      </c>
      <c r="E6" t="str">
        <f>VLOOKUP(A6,Datos!$A$2:$H$1084,6,FALSE)</f>
        <v>27.41</v>
      </c>
      <c r="F6" t="str">
        <f>VLOOKUP(A6,Datos!$A$2:$H$1084,7,FALSE)</f>
        <v>0.00</v>
      </c>
      <c r="G6" t="str">
        <f>VLOOKUP(A6,Datos!$A$2:$H$1084,8,FALSE)</f>
        <v>0.14</v>
      </c>
    </row>
    <row r="7" spans="1:7" x14ac:dyDescent="0.3">
      <c r="A7" s="1">
        <v>59665</v>
      </c>
      <c r="B7" t="str">
        <f>VLOOKUP(A7,Datos!$A$2:$H$1084,3,FALSE)</f>
        <v>107.11</v>
      </c>
      <c r="C7" t="str">
        <f>VLOOKUP(A7,Datos!$A$2:$H$1084,4,FALSE)</f>
        <v>0.00</v>
      </c>
      <c r="D7" t="str">
        <f>VLOOKUP(A7,Datos!$A$2:$H$1084,5,FALSE)</f>
        <v>1.05</v>
      </c>
      <c r="E7" t="str">
        <f>VLOOKUP(A7,Datos!$A$2:$H$1084,6,FALSE)</f>
        <v>4.79</v>
      </c>
      <c r="F7" t="str">
        <f>VLOOKUP(A7,Datos!$A$2:$H$1084,7,FALSE)</f>
        <v>0.00</v>
      </c>
      <c r="G7" t="str">
        <f>VLOOKUP(A7,Datos!$A$2:$H$1084,8,FALSE)</f>
        <v>0.05</v>
      </c>
    </row>
    <row r="8" spans="1:7" x14ac:dyDescent="0.3">
      <c r="A8" s="1">
        <v>79569</v>
      </c>
      <c r="B8" t="str">
        <f>VLOOKUP(A8,Datos!$A$2:$H$1084,3,FALSE)</f>
        <v>25.70</v>
      </c>
      <c r="C8" t="str">
        <f>VLOOKUP(A8,Datos!$A$2:$H$1084,4,FALSE)</f>
        <v>0.00</v>
      </c>
      <c r="D8" t="str">
        <f>VLOOKUP(A8,Datos!$A$2:$H$1084,5,FALSE)</f>
        <v>0.04</v>
      </c>
      <c r="E8" t="str">
        <f>VLOOKUP(A8,Datos!$A$2:$H$1084,6,FALSE)</f>
        <v>3.83</v>
      </c>
      <c r="F8" t="str">
        <f>VLOOKUP(A8,Datos!$A$2:$H$1084,7,FALSE)</f>
        <v>0.00</v>
      </c>
      <c r="G8" t="str">
        <f>VLOOKUP(A8,Datos!$A$2:$H$1084,8,FALSE)</f>
        <v>0.01</v>
      </c>
    </row>
    <row r="9" spans="1:7" x14ac:dyDescent="0.3">
      <c r="A9" s="1">
        <v>487690</v>
      </c>
      <c r="B9" t="str">
        <f>VLOOKUP(A9,Datos!$A$2:$H$1084,3,FALSE)</f>
        <v>125.68</v>
      </c>
      <c r="C9" t="str">
        <f>VLOOKUP(A9,Datos!$A$2:$H$1084,4,FALSE)</f>
        <v>0.00</v>
      </c>
      <c r="D9" t="str">
        <f>VLOOKUP(A9,Datos!$A$2:$H$1084,5,FALSE)</f>
        <v>0.15</v>
      </c>
      <c r="E9" t="str">
        <f>VLOOKUP(A9,Datos!$A$2:$H$1084,6,FALSE)</f>
        <v>20.09</v>
      </c>
      <c r="F9" t="str">
        <f>VLOOKUP(A9,Datos!$A$2:$H$1084,7,FALSE)</f>
        <v>0.00</v>
      </c>
      <c r="G9" t="str">
        <f>VLOOKUP(A9,Datos!$A$2:$H$1084,8,FALSE)</f>
        <v>0.02</v>
      </c>
    </row>
    <row r="10" spans="1:7" x14ac:dyDescent="0.3">
      <c r="A10" s="1">
        <v>467866</v>
      </c>
      <c r="B10" t="str">
        <f>VLOOKUP(A10,Datos!$A$2:$H$1084,3,FALSE)</f>
        <v>24.18</v>
      </c>
      <c r="C10" t="str">
        <f>VLOOKUP(A10,Datos!$A$2:$H$1084,4,FALSE)</f>
        <v>0.00</v>
      </c>
      <c r="D10" t="str">
        <f>VLOOKUP(A10,Datos!$A$2:$H$1084,5,FALSE)</f>
        <v>0.12</v>
      </c>
      <c r="E10" t="str">
        <f>VLOOKUP(A10,Datos!$A$2:$H$1084,6,FALSE)</f>
        <v>1.19</v>
      </c>
      <c r="F10" t="str">
        <f>VLOOKUP(A10,Datos!$A$2:$H$1084,7,FALSE)</f>
        <v>0.00</v>
      </c>
      <c r="G10" t="str">
        <f>VLOOKUP(A10,Datos!$A$2:$H$1084,8,FALSE)</f>
        <v>0.01</v>
      </c>
    </row>
    <row r="11" spans="1:7" x14ac:dyDescent="0.3">
      <c r="A11" s="1">
        <v>75533</v>
      </c>
      <c r="B11" t="str">
        <f>VLOOKUP(A11,Datos!$A$2:$H$1084,3,FALSE)</f>
        <v>49.20</v>
      </c>
      <c r="C11" t="str">
        <f>VLOOKUP(A11,Datos!$A$2:$H$1084,4,FALSE)</f>
        <v>0.00</v>
      </c>
      <c r="D11" t="str">
        <f>VLOOKUP(A11,Datos!$A$2:$H$1084,5,FALSE)</f>
        <v>0.09</v>
      </c>
      <c r="E11" t="str">
        <f>VLOOKUP(A11,Datos!$A$2:$H$1084,6,FALSE)</f>
        <v>6.62</v>
      </c>
      <c r="F11" t="str">
        <f>VLOOKUP(A11,Datos!$A$2:$H$1084,7,FALSE)</f>
        <v>0.00</v>
      </c>
      <c r="G11" t="str">
        <f>VLOOKUP(A11,Datos!$A$2:$H$1084,8,FALSE)</f>
        <v>0.01</v>
      </c>
    </row>
    <row r="12" spans="1:7" x14ac:dyDescent="0.3">
      <c r="A12" s="1">
        <v>64252</v>
      </c>
      <c r="B12" t="str">
        <f>VLOOKUP(A12,Datos!$A$2:$H$1084,3,FALSE)</f>
        <v>41.97</v>
      </c>
      <c r="C12" t="str">
        <f>VLOOKUP(A12,Datos!$A$2:$H$1084,4,FALSE)</f>
        <v>0.00</v>
      </c>
      <c r="D12" t="str">
        <f>VLOOKUP(A12,Datos!$A$2:$H$1084,5,FALSE)</f>
        <v>0.43</v>
      </c>
      <c r="E12" t="str">
        <f>VLOOKUP(A12,Datos!$A$2:$H$1084,6,FALSE)</f>
        <v>18.41</v>
      </c>
      <c r="F12" t="str">
        <f>VLOOKUP(A12,Datos!$A$2:$H$1084,7,FALSE)</f>
        <v>0.00</v>
      </c>
      <c r="G12" t="str">
        <f>VLOOKUP(A12,Datos!$A$2:$H$1084,8,FALSE)</f>
        <v>0.06</v>
      </c>
    </row>
    <row r="13" spans="1:7" x14ac:dyDescent="0.3">
      <c r="A13" s="1">
        <v>486600</v>
      </c>
      <c r="B13" t="str">
        <f>VLOOKUP(A13,Datos!$A$2:$H$1084,3,FALSE)</f>
        <v>35.87</v>
      </c>
      <c r="C13" t="str">
        <f>VLOOKUP(A13,Datos!$A$2:$H$1084,4,FALSE)</f>
        <v>0.00</v>
      </c>
      <c r="D13" t="str">
        <f>VLOOKUP(A13,Datos!$A$2:$H$1084,5,FALSE)</f>
        <v>0.15</v>
      </c>
      <c r="E13" t="str">
        <f>VLOOKUP(A13,Datos!$A$2:$H$1084,6,FALSE)</f>
        <v>8.88</v>
      </c>
      <c r="F13" t="str">
        <f>VLOOKUP(A13,Datos!$A$2:$H$1084,7,FALSE)</f>
        <v>0.00</v>
      </c>
      <c r="G13" t="str">
        <f>VLOOKUP(A13,Datos!$A$2:$H$1084,8,FALSE)</f>
        <v>0.02</v>
      </c>
    </row>
    <row r="14" spans="1:7" x14ac:dyDescent="0.3">
      <c r="A14" s="1">
        <v>58996</v>
      </c>
      <c r="B14" t="str">
        <f>VLOOKUP(A14,Datos!$A$2:$H$1084,3,FALSE)</f>
        <v>34.09</v>
      </c>
      <c r="C14" t="str">
        <f>VLOOKUP(A14,Datos!$A$2:$H$1084,4,FALSE)</f>
        <v>0.00</v>
      </c>
      <c r="D14" t="str">
        <f>VLOOKUP(A14,Datos!$A$2:$H$1084,5,FALSE)</f>
        <v>0.13</v>
      </c>
      <c r="E14" t="str">
        <f>VLOOKUP(A14,Datos!$A$2:$H$1084,6,FALSE)</f>
        <v>7.10</v>
      </c>
      <c r="F14" t="str">
        <f>VLOOKUP(A14,Datos!$A$2:$H$1084,7,FALSE)</f>
        <v>0.00</v>
      </c>
      <c r="G14" t="str">
        <f>VLOOKUP(A14,Datos!$A$2:$H$1084,8,FALSE)</f>
        <v>0.02</v>
      </c>
    </row>
    <row r="15" spans="1:7" x14ac:dyDescent="0.3">
      <c r="A15" s="1">
        <v>42383</v>
      </c>
      <c r="B15" t="str">
        <f>VLOOKUP(A15,Datos!$A$2:$H$1084,3,FALSE)</f>
        <v>61.02</v>
      </c>
      <c r="C15" t="str">
        <f>VLOOKUP(A15,Datos!$A$2:$H$1084,4,FALSE)</f>
        <v>0.00</v>
      </c>
      <c r="D15" t="str">
        <f>VLOOKUP(A15,Datos!$A$2:$H$1084,5,FALSE)</f>
        <v>0.06</v>
      </c>
      <c r="E15" t="str">
        <f>VLOOKUP(A15,Datos!$A$2:$H$1084,6,FALSE)</f>
        <v>4.18</v>
      </c>
      <c r="F15" t="str">
        <f>VLOOKUP(A15,Datos!$A$2:$H$1084,7,FALSE)</f>
        <v>0.00</v>
      </c>
      <c r="G15" t="str">
        <f>VLOOKUP(A15,Datos!$A$2:$H$1084,8,FALSE)</f>
        <v>0.01</v>
      </c>
    </row>
    <row r="16" spans="1:7" x14ac:dyDescent="0.3">
      <c r="A16" s="1">
        <v>486394</v>
      </c>
      <c r="B16" t="str">
        <f>VLOOKUP(A16,Datos!$A$2:$H$1084,3,FALSE)</f>
        <v>33.43</v>
      </c>
      <c r="C16" t="str">
        <f>VLOOKUP(A16,Datos!$A$2:$H$1084,4,FALSE)</f>
        <v>0.00</v>
      </c>
      <c r="D16" t="str">
        <f>VLOOKUP(A16,Datos!$A$2:$H$1084,5,FALSE)</f>
        <v>0.02</v>
      </c>
      <c r="E16" t="str">
        <f>VLOOKUP(A16,Datos!$A$2:$H$1084,6,FALSE)</f>
        <v>6.41</v>
      </c>
      <c r="F16" t="str">
        <f>VLOOKUP(A16,Datos!$A$2:$H$1084,7,FALSE)</f>
        <v>0.00</v>
      </c>
      <c r="G16" t="str">
        <f>VLOOKUP(A16,Datos!$A$2:$H$1084,8,FALSE)</f>
        <v>0.01</v>
      </c>
    </row>
    <row r="17" spans="1:7" x14ac:dyDescent="0.3">
      <c r="A17" s="1">
        <v>45843</v>
      </c>
      <c r="B17" t="str">
        <f>VLOOKUP(A17,Datos!$A$2:$H$1084,3,FALSE)</f>
        <v>33.05</v>
      </c>
      <c r="C17" t="str">
        <f>VLOOKUP(A17,Datos!$A$2:$H$1084,4,FALSE)</f>
        <v>0.00</v>
      </c>
      <c r="D17" t="str">
        <f>VLOOKUP(A17,Datos!$A$2:$H$1084,5,FALSE)</f>
        <v>0.13</v>
      </c>
      <c r="E17" t="str">
        <f>VLOOKUP(A17,Datos!$A$2:$H$1084,6,FALSE)</f>
        <v>2.26</v>
      </c>
      <c r="F17" t="str">
        <f>VLOOKUP(A17,Datos!$A$2:$H$1084,7,FALSE)</f>
        <v>0.00</v>
      </c>
      <c r="G17" t="str">
        <f>VLOOKUP(A17,Datos!$A$2:$H$1084,8,FALSE)</f>
        <v>0.01</v>
      </c>
    </row>
    <row r="18" spans="1:7" x14ac:dyDescent="0.3">
      <c r="A18" s="1">
        <v>457546</v>
      </c>
      <c r="B18" t="str">
        <f>VLOOKUP(A18,Datos!$A$2:$H$1084,3,FALSE)</f>
        <v>45.47</v>
      </c>
      <c r="C18" t="str">
        <f>VLOOKUP(A18,Datos!$A$2:$H$1084,4,FALSE)</f>
        <v>0.00</v>
      </c>
      <c r="D18" t="str">
        <f>VLOOKUP(A18,Datos!$A$2:$H$1084,5,FALSE)</f>
        <v>0.08</v>
      </c>
      <c r="E18" t="str">
        <f>VLOOKUP(A18,Datos!$A$2:$H$1084,6,FALSE)</f>
        <v>3.74</v>
      </c>
      <c r="F18" t="str">
        <f>VLOOKUP(A18,Datos!$A$2:$H$1084,7,FALSE)</f>
        <v>0.00</v>
      </c>
      <c r="G18" t="str">
        <f>VLOOKUP(A18,Datos!$A$2:$H$1084,8,FALSE)</f>
        <v>0.01</v>
      </c>
    </row>
    <row r="19" spans="1:7" x14ac:dyDescent="0.3">
      <c r="A19" s="1">
        <v>489811</v>
      </c>
      <c r="B19" t="str">
        <f>VLOOKUP(A19,Datos!$A$2:$H$1084,3,FALSE)</f>
        <v>38.92</v>
      </c>
      <c r="C19" t="str">
        <f>VLOOKUP(A19,Datos!$A$2:$H$1084,4,FALSE)</f>
        <v>0.00</v>
      </c>
      <c r="D19" t="str">
        <f>VLOOKUP(A19,Datos!$A$2:$H$1084,5,FALSE)</f>
        <v>0.13</v>
      </c>
      <c r="E19" t="str">
        <f>VLOOKUP(A19,Datos!$A$2:$H$1084,6,FALSE)</f>
        <v>2.15</v>
      </c>
      <c r="F19" t="str">
        <f>VLOOKUP(A19,Datos!$A$2:$H$1084,7,FALSE)</f>
        <v>0.00</v>
      </c>
      <c r="G19" t="str">
        <f>VLOOKUP(A19,Datos!$A$2:$H$1084,8,FALSE)</f>
        <v>0.01</v>
      </c>
    </row>
    <row r="20" spans="1:7" x14ac:dyDescent="0.3">
      <c r="A20" s="1">
        <v>68801</v>
      </c>
      <c r="B20" t="str">
        <f>VLOOKUP(A20,Datos!$A$2:$H$1084,3,FALSE)</f>
        <v>26.44</v>
      </c>
      <c r="C20" t="str">
        <f>VLOOKUP(A20,Datos!$A$2:$H$1084,4,FALSE)</f>
        <v>0.00</v>
      </c>
      <c r="D20" t="str">
        <f>VLOOKUP(A20,Datos!$A$2:$H$1084,5,FALSE)</f>
        <v>0.17</v>
      </c>
      <c r="E20" t="str">
        <f>VLOOKUP(A20,Datos!$A$2:$H$1084,6,FALSE)</f>
        <v>6.21</v>
      </c>
      <c r="F20" t="str">
        <f>VLOOKUP(A20,Datos!$A$2:$H$1084,7,FALSE)</f>
        <v>0.00</v>
      </c>
      <c r="G20" t="str">
        <f>VLOOKUP(A20,Datos!$A$2:$H$1084,8,FALSE)</f>
        <v>0.02</v>
      </c>
    </row>
    <row r="21" spans="1:7" x14ac:dyDescent="0.3">
      <c r="A21" s="1">
        <v>155959</v>
      </c>
      <c r="B21" t="str">
        <f>VLOOKUP(A21,Datos!$A$2:$H$1084,3,FALSE)</f>
        <v>89.32</v>
      </c>
      <c r="C21" t="str">
        <f>VLOOKUP(A21,Datos!$A$2:$H$1084,4,FALSE)</f>
        <v>0.00</v>
      </c>
      <c r="D21" t="str">
        <f>VLOOKUP(A21,Datos!$A$2:$H$1084,5,FALSE)</f>
        <v>1.99</v>
      </c>
      <c r="E21" t="str">
        <f>VLOOKUP(A21,Datos!$A$2:$H$1084,6,FALSE)</f>
        <v>16.19</v>
      </c>
      <c r="F21" t="str">
        <f>VLOOKUP(A21,Datos!$A$2:$H$1084,7,FALSE)</f>
        <v>0.00</v>
      </c>
      <c r="G21" t="str">
        <f>VLOOKUP(A21,Datos!$A$2:$H$1084,8,FALSE)</f>
        <v>0.07</v>
      </c>
    </row>
    <row r="22" spans="1:7" x14ac:dyDescent="0.3">
      <c r="A22" s="1">
        <v>454350</v>
      </c>
      <c r="B22" t="str">
        <f>VLOOKUP(A22,Datos!$A$2:$H$1084,3,FALSE)</f>
        <v>40.91</v>
      </c>
      <c r="C22" t="str">
        <f>VLOOKUP(A22,Datos!$A$2:$H$1084,4,FALSE)</f>
        <v>0.00</v>
      </c>
      <c r="D22" t="str">
        <f>VLOOKUP(A22,Datos!$A$2:$H$1084,5,FALSE)</f>
        <v>0.15</v>
      </c>
      <c r="E22" t="str">
        <f>VLOOKUP(A22,Datos!$A$2:$H$1084,6,FALSE)</f>
        <v>7.11</v>
      </c>
      <c r="F22" t="str">
        <f>VLOOKUP(A22,Datos!$A$2:$H$1084,7,FALSE)</f>
        <v>0.00</v>
      </c>
      <c r="G22" t="str">
        <f>VLOOKUP(A22,Datos!$A$2:$H$1084,8,FALSE)</f>
        <v>0.01</v>
      </c>
    </row>
    <row r="23" spans="1:7" x14ac:dyDescent="0.3">
      <c r="A23" s="1">
        <v>62502</v>
      </c>
      <c r="B23" t="str">
        <f>VLOOKUP(A23,Datos!$A$2:$H$1084,3,FALSE)</f>
        <v>76.26</v>
      </c>
      <c r="C23" t="str">
        <f>VLOOKUP(A23,Datos!$A$2:$H$1084,4,FALSE)</f>
        <v>0.00</v>
      </c>
      <c r="D23" t="str">
        <f>VLOOKUP(A23,Datos!$A$2:$H$1084,5,FALSE)</f>
        <v>0.35</v>
      </c>
      <c r="E23" t="str">
        <f>VLOOKUP(A23,Datos!$A$2:$H$1084,6,FALSE)</f>
        <v>17.90</v>
      </c>
      <c r="F23" t="str">
        <f>VLOOKUP(A23,Datos!$A$2:$H$1084,7,FALSE)</f>
        <v>0.01</v>
      </c>
      <c r="G23" t="str">
        <f>VLOOKUP(A23,Datos!$A$2:$H$1084,8,FALSE)</f>
        <v>0.06</v>
      </c>
    </row>
    <row r="24" spans="1:7" x14ac:dyDescent="0.3">
      <c r="A24" s="1">
        <v>73119</v>
      </c>
      <c r="B24" t="str">
        <f>VLOOKUP(A24,Datos!$A$2:$H$1084,3,FALSE)</f>
        <v>48.13</v>
      </c>
      <c r="C24" t="str">
        <f>VLOOKUP(A24,Datos!$A$2:$H$1084,4,FALSE)</f>
        <v>0.00</v>
      </c>
      <c r="D24" t="str">
        <f>VLOOKUP(A24,Datos!$A$2:$H$1084,5,FALSE)</f>
        <v>0.01</v>
      </c>
      <c r="E24" t="str">
        <f>VLOOKUP(A24,Datos!$A$2:$H$1084,6,FALSE)</f>
        <v>9.44</v>
      </c>
      <c r="F24" t="str">
        <f>VLOOKUP(A24,Datos!$A$2:$H$1084,7,FALSE)</f>
        <v>0.00</v>
      </c>
      <c r="G24" t="str">
        <f>VLOOKUP(A24,Datos!$A$2:$H$1084,8,FALSE)</f>
        <v>0.01</v>
      </c>
    </row>
    <row r="25" spans="1:7" x14ac:dyDescent="0.3">
      <c r="A25" s="1">
        <v>146314</v>
      </c>
      <c r="B25" t="str">
        <f>VLOOKUP(A25,Datos!$A$2:$H$1084,3,FALSE)</f>
        <v>36.51</v>
      </c>
      <c r="C25" t="str">
        <f>VLOOKUP(A25,Datos!$A$2:$H$1084,4,FALSE)</f>
        <v>0.00</v>
      </c>
      <c r="D25" t="str">
        <f>VLOOKUP(A25,Datos!$A$2:$H$1084,5,FALSE)</f>
        <v>0.12</v>
      </c>
      <c r="E25" t="str">
        <f>VLOOKUP(A25,Datos!$A$2:$H$1084,6,FALSE)</f>
        <v>4.04</v>
      </c>
      <c r="F25" t="str">
        <f>VLOOKUP(A25,Datos!$A$2:$H$1084,7,FALSE)</f>
        <v>0.00</v>
      </c>
      <c r="G25" t="str">
        <f>VLOOKUP(A25,Datos!$A$2:$H$1084,8,FALSE)</f>
        <v>0.01</v>
      </c>
    </row>
    <row r="26" spans="1:7" x14ac:dyDescent="0.3">
      <c r="A26" s="1">
        <v>155389</v>
      </c>
      <c r="B26" t="str">
        <f>VLOOKUP(A26,Datos!$A$2:$H$1084,3,FALSE)</f>
        <v>81.81</v>
      </c>
      <c r="C26" t="str">
        <f>VLOOKUP(A26,Datos!$A$2:$H$1084,4,FALSE)</f>
        <v>0.00</v>
      </c>
      <c r="D26" t="str">
        <f>VLOOKUP(A26,Datos!$A$2:$H$1084,5,FALSE)</f>
        <v>0.29</v>
      </c>
      <c r="E26" t="str">
        <f>VLOOKUP(A26,Datos!$A$2:$H$1084,6,FALSE)</f>
        <v>17.83</v>
      </c>
      <c r="F26" t="str">
        <f>VLOOKUP(A26,Datos!$A$2:$H$1084,7,FALSE)</f>
        <v>0.00</v>
      </c>
      <c r="G26" t="str">
        <f>VLOOKUP(A26,Datos!$A$2:$H$1084,8,FALSE)</f>
        <v>0.03</v>
      </c>
    </row>
    <row r="27" spans="1:7" x14ac:dyDescent="0.3">
      <c r="A27" s="1">
        <v>486365</v>
      </c>
      <c r="B27" t="str">
        <f>VLOOKUP(A27,Datos!$A$2:$H$1084,3,FALSE)</f>
        <v>53.56</v>
      </c>
      <c r="C27" t="str">
        <f>VLOOKUP(A27,Datos!$A$2:$H$1084,4,FALSE)</f>
        <v>0.00</v>
      </c>
      <c r="D27" t="str">
        <f>VLOOKUP(A27,Datos!$A$2:$H$1084,5,FALSE)</f>
        <v>0.22</v>
      </c>
      <c r="E27" t="str">
        <f>VLOOKUP(A27,Datos!$A$2:$H$1084,6,FALSE)</f>
        <v>10.67</v>
      </c>
      <c r="F27" t="str">
        <f>VLOOKUP(A27,Datos!$A$2:$H$1084,7,FALSE)</f>
        <v>0.00</v>
      </c>
      <c r="G27" t="str">
        <f>VLOOKUP(A27,Datos!$A$2:$H$1084,8,FALSE)</f>
        <v>0.04</v>
      </c>
    </row>
    <row r="28" spans="1:7" x14ac:dyDescent="0.3">
      <c r="A28" s="1">
        <v>443762</v>
      </c>
      <c r="B28" t="str">
        <f>VLOOKUP(A28,Datos!$A$2:$H$1084,3,FALSE)</f>
        <v>42.41</v>
      </c>
      <c r="C28" t="str">
        <f>VLOOKUP(A28,Datos!$A$2:$H$1084,4,FALSE)</f>
        <v>0.00</v>
      </c>
      <c r="D28" t="str">
        <f>VLOOKUP(A28,Datos!$A$2:$H$1084,5,FALSE)</f>
        <v>0.01</v>
      </c>
      <c r="E28" t="str">
        <f>VLOOKUP(A28,Datos!$A$2:$H$1084,6,FALSE)</f>
        <v>14.02</v>
      </c>
      <c r="F28" t="str">
        <f>VLOOKUP(A28,Datos!$A$2:$H$1084,7,FALSE)</f>
        <v>0.00</v>
      </c>
      <c r="G28" t="str">
        <f>VLOOKUP(A28,Datos!$A$2:$H$1084,8,FALSE)</f>
        <v>0.00</v>
      </c>
    </row>
    <row r="29" spans="1:7" x14ac:dyDescent="0.3">
      <c r="A29" s="1">
        <v>148129</v>
      </c>
      <c r="B29" t="str">
        <f>VLOOKUP(A29,Datos!$A$2:$H$1084,3,FALSE)</f>
        <v>161.38</v>
      </c>
      <c r="C29" t="str">
        <f>VLOOKUP(A29,Datos!$A$2:$H$1084,4,FALSE)</f>
        <v>0.00</v>
      </c>
      <c r="D29" t="str">
        <f>VLOOKUP(A29,Datos!$A$2:$H$1084,5,FALSE)</f>
        <v>1.95</v>
      </c>
      <c r="E29" t="str">
        <f>VLOOKUP(A29,Datos!$A$2:$H$1084,6,FALSE)</f>
        <v>7.15</v>
      </c>
      <c r="F29" t="str">
        <f>VLOOKUP(A29,Datos!$A$2:$H$1084,7,FALSE)</f>
        <v>0.00</v>
      </c>
      <c r="G29" t="str">
        <f>VLOOKUP(A29,Datos!$A$2:$H$1084,8,FALSE)</f>
        <v>0.01</v>
      </c>
    </row>
    <row r="30" spans="1:7" x14ac:dyDescent="0.3">
      <c r="A30" s="1">
        <v>87499</v>
      </c>
      <c r="B30" t="str">
        <f>VLOOKUP(A30,Datos!$A$2:$H$1084,3,FALSE)</f>
        <v>93.20</v>
      </c>
      <c r="C30" t="str">
        <f>VLOOKUP(A30,Datos!$A$2:$H$1084,4,FALSE)</f>
        <v>0.01</v>
      </c>
      <c r="D30" t="str">
        <f>VLOOKUP(A30,Datos!$A$2:$H$1084,5,FALSE)</f>
        <v>1.69</v>
      </c>
      <c r="E30" t="str">
        <f>VLOOKUP(A30,Datos!$A$2:$H$1084,6,FALSE)</f>
        <v>18.70</v>
      </c>
      <c r="F30" t="str">
        <f>VLOOKUP(A30,Datos!$A$2:$H$1084,7,FALSE)</f>
        <v>0.01</v>
      </c>
      <c r="G30" t="str">
        <f>VLOOKUP(A30,Datos!$A$2:$H$1084,8,FALSE)</f>
        <v>0.11</v>
      </c>
    </row>
    <row r="31" spans="1:7" x14ac:dyDescent="0.3">
      <c r="A31" s="1">
        <v>822852</v>
      </c>
      <c r="B31" t="str">
        <f>VLOOKUP(A31,Datos!$A$2:$H$1084,3,FALSE)</f>
        <v>20.16</v>
      </c>
      <c r="C31" t="str">
        <f>VLOOKUP(A31,Datos!$A$2:$H$1084,4,FALSE)</f>
        <v>0.00</v>
      </c>
      <c r="D31" t="str">
        <f>VLOOKUP(A31,Datos!$A$2:$H$1084,5,FALSE)</f>
        <v>0.07</v>
      </c>
      <c r="E31" t="str">
        <f>VLOOKUP(A31,Datos!$A$2:$H$1084,6,FALSE)</f>
        <v>7.44</v>
      </c>
      <c r="F31" t="str">
        <f>VLOOKUP(A31,Datos!$A$2:$H$1084,7,FALSE)</f>
        <v>0.00</v>
      </c>
      <c r="G31" t="str">
        <f>VLOOKUP(A31,Datos!$A$2:$H$1084,8,FALSE)</f>
        <v>0.01</v>
      </c>
    </row>
    <row r="32" spans="1:7" x14ac:dyDescent="0.3">
      <c r="A32" s="1">
        <v>488897</v>
      </c>
      <c r="B32" t="str">
        <f>VLOOKUP(A32,Datos!$A$2:$H$1084,3,FALSE)</f>
        <v>52.62</v>
      </c>
      <c r="C32" t="str">
        <f>VLOOKUP(A32,Datos!$A$2:$H$1084,4,FALSE)</f>
        <v>0.01</v>
      </c>
      <c r="D32" t="str">
        <f>VLOOKUP(A32,Datos!$A$2:$H$1084,5,FALSE)</f>
        <v>0.74</v>
      </c>
      <c r="E32" t="str">
        <f>VLOOKUP(A32,Datos!$A$2:$H$1084,6,FALSE)</f>
        <v>7.76</v>
      </c>
      <c r="F32" t="str">
        <f>VLOOKUP(A32,Datos!$A$2:$H$1084,7,FALSE)</f>
        <v>0.01</v>
      </c>
      <c r="G32" t="str">
        <f>VLOOKUP(A32,Datos!$A$2:$H$1084,8,FALSE)</f>
        <v>0.20</v>
      </c>
    </row>
    <row r="33" spans="1:7" x14ac:dyDescent="0.3">
      <c r="A33" s="1">
        <v>79357</v>
      </c>
      <c r="B33" t="str">
        <f>VLOOKUP(A33,Datos!$A$2:$H$1084,3,FALSE)</f>
        <v>61.28</v>
      </c>
      <c r="C33" t="str">
        <f>VLOOKUP(A33,Datos!$A$2:$H$1084,4,FALSE)</f>
        <v>0.00</v>
      </c>
      <c r="D33" t="str">
        <f>VLOOKUP(A33,Datos!$A$2:$H$1084,5,FALSE)</f>
        <v>0.18</v>
      </c>
      <c r="E33" t="str">
        <f>VLOOKUP(A33,Datos!$A$2:$H$1084,6,FALSE)</f>
        <v>3.78</v>
      </c>
      <c r="F33" t="str">
        <f>VLOOKUP(A33,Datos!$A$2:$H$1084,7,FALSE)</f>
        <v>0.00</v>
      </c>
      <c r="G33" t="str">
        <f>VLOOKUP(A33,Datos!$A$2:$H$1084,8,FALSE)</f>
        <v>0.02</v>
      </c>
    </row>
    <row r="34" spans="1:7" x14ac:dyDescent="0.3">
      <c r="A34" s="1">
        <v>76504</v>
      </c>
      <c r="B34" t="str">
        <f>VLOOKUP(A34,Datos!$A$2:$H$1084,3,FALSE)</f>
        <v>37.67</v>
      </c>
      <c r="C34" t="str">
        <f>VLOOKUP(A34,Datos!$A$2:$H$1084,4,FALSE)</f>
        <v>0.00</v>
      </c>
      <c r="D34" t="str">
        <f>VLOOKUP(A34,Datos!$A$2:$H$1084,5,FALSE)</f>
        <v>0.09</v>
      </c>
      <c r="E34" t="str">
        <f>VLOOKUP(A34,Datos!$A$2:$H$1084,6,FALSE)</f>
        <v>23.11</v>
      </c>
      <c r="F34" t="str">
        <f>VLOOKUP(A34,Datos!$A$2:$H$1084,7,FALSE)</f>
        <v>0.00</v>
      </c>
      <c r="G34" t="str">
        <f>VLOOKUP(A34,Datos!$A$2:$H$1084,8,FALSE)</f>
        <v>0.01</v>
      </c>
    </row>
    <row r="35" spans="1:7" x14ac:dyDescent="0.3">
      <c r="A35" s="1">
        <v>166076</v>
      </c>
      <c r="B35" t="str">
        <f>VLOOKUP(A35,Datos!$A$2:$H$1084,3,FALSE)</f>
        <v>51.25</v>
      </c>
      <c r="C35" t="str">
        <f>VLOOKUP(A35,Datos!$A$2:$H$1084,4,FALSE)</f>
        <v>0.00</v>
      </c>
      <c r="D35" t="str">
        <f>VLOOKUP(A35,Datos!$A$2:$H$1084,5,FALSE)</f>
        <v>0.29</v>
      </c>
      <c r="E35" t="str">
        <f>VLOOKUP(A35,Datos!$A$2:$H$1084,6,FALSE)</f>
        <v>6.40</v>
      </c>
      <c r="F35" t="str">
        <f>VLOOKUP(A35,Datos!$A$2:$H$1084,7,FALSE)</f>
        <v>0.00</v>
      </c>
      <c r="G35" t="str">
        <f>VLOOKUP(A35,Datos!$A$2:$H$1084,8,FALSE)</f>
        <v>0.03</v>
      </c>
    </row>
    <row r="36" spans="1:7" x14ac:dyDescent="0.3">
      <c r="A36" s="1">
        <v>514245</v>
      </c>
      <c r="B36" t="str">
        <f>VLOOKUP(A36,Datos!$A$2:$H$1084,3,FALSE)</f>
        <v>64.07</v>
      </c>
      <c r="C36" t="str">
        <f>VLOOKUP(A36,Datos!$A$2:$H$1084,4,FALSE)</f>
        <v>0.00</v>
      </c>
      <c r="D36" t="str">
        <f>VLOOKUP(A36,Datos!$A$2:$H$1084,5,FALSE)</f>
        <v>0.31</v>
      </c>
      <c r="E36" t="str">
        <f>VLOOKUP(A36,Datos!$A$2:$H$1084,6,FALSE)</f>
        <v>7.92</v>
      </c>
      <c r="F36" t="str">
        <f>VLOOKUP(A36,Datos!$A$2:$H$1084,7,FALSE)</f>
        <v>0.00</v>
      </c>
      <c r="G36" t="str">
        <f>VLOOKUP(A36,Datos!$A$2:$H$1084,8,FALSE)</f>
        <v>0.04</v>
      </c>
    </row>
    <row r="37" spans="1:7" x14ac:dyDescent="0.3">
      <c r="A37" s="1">
        <v>461685</v>
      </c>
      <c r="B37" t="str">
        <f>VLOOKUP(A37,Datos!$A$2:$H$1084,3,FALSE)</f>
        <v>59.06</v>
      </c>
      <c r="C37" t="str">
        <f>VLOOKUP(A37,Datos!$A$2:$H$1084,4,FALSE)</f>
        <v>0.00</v>
      </c>
      <c r="D37" t="str">
        <f>VLOOKUP(A37,Datos!$A$2:$H$1084,5,FALSE)</f>
        <v>0.32</v>
      </c>
      <c r="E37" t="str">
        <f>VLOOKUP(A37,Datos!$A$2:$H$1084,6,FALSE)</f>
        <v>10.99</v>
      </c>
      <c r="F37" t="str">
        <f>VLOOKUP(A37,Datos!$A$2:$H$1084,7,FALSE)</f>
        <v>0.00</v>
      </c>
      <c r="G37" t="str">
        <f>VLOOKUP(A37,Datos!$A$2:$H$1084,8,FALSE)</f>
        <v>0.02</v>
      </c>
    </row>
    <row r="38" spans="1:7" x14ac:dyDescent="0.3">
      <c r="A38" s="1">
        <v>149652</v>
      </c>
      <c r="B38" t="str">
        <f>VLOOKUP(A38,Datos!$A$2:$H$1084,3,FALSE)</f>
        <v>102.24</v>
      </c>
      <c r="C38" t="str">
        <f>VLOOKUP(A38,Datos!$A$2:$H$1084,4,FALSE)</f>
        <v>0.00</v>
      </c>
      <c r="D38" t="str">
        <f>VLOOKUP(A38,Datos!$A$2:$H$1084,5,FALSE)</f>
        <v>0.65</v>
      </c>
      <c r="E38" t="str">
        <f>VLOOKUP(A38,Datos!$A$2:$H$1084,6,FALSE)</f>
        <v>7.32</v>
      </c>
      <c r="F38" t="str">
        <f>VLOOKUP(A38,Datos!$A$2:$H$1084,7,FALSE)</f>
        <v>0.00</v>
      </c>
      <c r="G38" t="str">
        <f>VLOOKUP(A38,Datos!$A$2:$H$1084,8,FALSE)</f>
        <v>0.05</v>
      </c>
    </row>
    <row r="39" spans="1:7" x14ac:dyDescent="0.3">
      <c r="A39" s="1">
        <v>62583</v>
      </c>
      <c r="B39" t="str">
        <f>VLOOKUP(A39,Datos!$A$2:$H$1084,3,FALSE)</f>
        <v>63.35</v>
      </c>
      <c r="C39" t="str">
        <f>VLOOKUP(A39,Datos!$A$2:$H$1084,4,FALSE)</f>
        <v>0.00</v>
      </c>
      <c r="D39" t="str">
        <f>VLOOKUP(A39,Datos!$A$2:$H$1084,5,FALSE)</f>
        <v>0.08</v>
      </c>
      <c r="E39" t="str">
        <f>VLOOKUP(A39,Datos!$A$2:$H$1084,6,FALSE)</f>
        <v>5.48</v>
      </c>
      <c r="F39" t="str">
        <f>VLOOKUP(A39,Datos!$A$2:$H$1084,7,FALSE)</f>
        <v>0.00</v>
      </c>
      <c r="G39" t="str">
        <f>VLOOKUP(A39,Datos!$A$2:$H$1084,8,FALSE)</f>
        <v>0.01</v>
      </c>
    </row>
    <row r="40" spans="1:7" x14ac:dyDescent="0.3">
      <c r="A40" s="1">
        <v>58166</v>
      </c>
      <c r="B40" t="str">
        <f>VLOOKUP(A40,Datos!$A$2:$H$1084,3,FALSE)</f>
        <v>28.87</v>
      </c>
      <c r="C40" t="str">
        <f>VLOOKUP(A40,Datos!$A$2:$H$1084,4,FALSE)</f>
        <v>0.00</v>
      </c>
      <c r="D40" t="str">
        <f>VLOOKUP(A40,Datos!$A$2:$H$1084,5,FALSE)</f>
        <v>0.09</v>
      </c>
      <c r="E40" t="str">
        <f>VLOOKUP(A40,Datos!$A$2:$H$1084,6,FALSE)</f>
        <v>3.48</v>
      </c>
      <c r="F40" t="str">
        <f>VLOOKUP(A40,Datos!$A$2:$H$1084,7,FALSE)</f>
        <v>0.00</v>
      </c>
      <c r="G40" t="str">
        <f>VLOOKUP(A40,Datos!$A$2:$H$1084,8,FALSE)</f>
        <v>0.01</v>
      </c>
    </row>
    <row r="41" spans="1:7" x14ac:dyDescent="0.3">
      <c r="A41" s="1">
        <v>72855</v>
      </c>
      <c r="B41" t="str">
        <f>VLOOKUP(A41,Datos!$A$2:$H$1084,3,FALSE)</f>
        <v>21.51</v>
      </c>
      <c r="C41" t="str">
        <f>VLOOKUP(A41,Datos!$A$2:$H$1084,4,FALSE)</f>
        <v>0.01</v>
      </c>
      <c r="D41" t="str">
        <f>VLOOKUP(A41,Datos!$A$2:$H$1084,5,FALSE)</f>
        <v>0.04</v>
      </c>
      <c r="E41" t="str">
        <f>VLOOKUP(A41,Datos!$A$2:$H$1084,6,FALSE)</f>
        <v>4.46</v>
      </c>
      <c r="F41" t="str">
        <f>VLOOKUP(A41,Datos!$A$2:$H$1084,7,FALSE)</f>
        <v>0.01</v>
      </c>
      <c r="G41" t="str">
        <f>VLOOKUP(A41,Datos!$A$2:$H$1084,8,FALSE)</f>
        <v>0.01</v>
      </c>
    </row>
    <row r="42" spans="1:7" x14ac:dyDescent="0.3">
      <c r="A42" s="1">
        <v>149954</v>
      </c>
      <c r="B42" t="str">
        <f>VLOOKUP(A42,Datos!$A$2:$H$1084,3,FALSE)</f>
        <v>85.29</v>
      </c>
      <c r="C42" t="str">
        <f>VLOOKUP(A42,Datos!$A$2:$H$1084,4,FALSE)</f>
        <v>0.00</v>
      </c>
      <c r="D42" t="str">
        <f>VLOOKUP(A42,Datos!$A$2:$H$1084,5,FALSE)</f>
        <v>0.10</v>
      </c>
      <c r="E42" t="str">
        <f>VLOOKUP(A42,Datos!$A$2:$H$1084,6,FALSE)</f>
        <v>22.35</v>
      </c>
      <c r="F42" t="str">
        <f>VLOOKUP(A42,Datos!$A$2:$H$1084,7,FALSE)</f>
        <v>0.00</v>
      </c>
      <c r="G42" t="str">
        <f>VLOOKUP(A42,Datos!$A$2:$H$1084,8,FALSE)</f>
        <v>0.03</v>
      </c>
    </row>
    <row r="43" spans="1:7" x14ac:dyDescent="0.3">
      <c r="A43" s="1">
        <v>1924</v>
      </c>
      <c r="B43" t="str">
        <f>VLOOKUP(A43,Datos!$A$2:$H$1084,3,FALSE)</f>
        <v>46.39</v>
      </c>
      <c r="C43" t="str">
        <f>VLOOKUP(A43,Datos!$A$2:$H$1084,4,FALSE)</f>
        <v>0.00</v>
      </c>
      <c r="D43" t="str">
        <f>VLOOKUP(A43,Datos!$A$2:$H$1084,5,FALSE)</f>
        <v>0.29</v>
      </c>
      <c r="E43" t="str">
        <f>VLOOKUP(A43,Datos!$A$2:$H$1084,6,FALSE)</f>
        <v>11.38</v>
      </c>
      <c r="F43" t="str">
        <f>VLOOKUP(A43,Datos!$A$2:$H$1084,7,FALSE)</f>
        <v>0.00</v>
      </c>
      <c r="G43" t="str">
        <f>VLOOKUP(A43,Datos!$A$2:$H$1084,8,FALSE)</f>
        <v>0.03</v>
      </c>
    </row>
    <row r="44" spans="1:7" x14ac:dyDescent="0.3">
      <c r="A44" s="1">
        <v>63530</v>
      </c>
      <c r="B44" t="str">
        <f>VLOOKUP(A44,Datos!$A$2:$H$1084,3,FALSE)</f>
        <v>135.90</v>
      </c>
      <c r="C44" t="str">
        <f>VLOOKUP(A44,Datos!$A$2:$H$1084,4,FALSE)</f>
        <v>0.00</v>
      </c>
      <c r="D44" t="str">
        <f>VLOOKUP(A44,Datos!$A$2:$H$1084,5,FALSE)</f>
        <v>0.63</v>
      </c>
      <c r="E44" t="str">
        <f>VLOOKUP(A44,Datos!$A$2:$H$1084,6,FALSE)</f>
        <v>7.77</v>
      </c>
      <c r="F44" t="str">
        <f>VLOOKUP(A44,Datos!$A$2:$H$1084,7,FALSE)</f>
        <v>0.00</v>
      </c>
      <c r="G44" t="str">
        <f>VLOOKUP(A44,Datos!$A$2:$H$1084,8,FALSE)</f>
        <v>0.06</v>
      </c>
    </row>
    <row r="45" spans="1:7" x14ac:dyDescent="0.3">
      <c r="A45" s="1">
        <v>485832</v>
      </c>
      <c r="B45" t="str">
        <f>VLOOKUP(A45,Datos!$A$2:$H$1084,3,FALSE)</f>
        <v>64.80</v>
      </c>
      <c r="C45" t="str">
        <f>VLOOKUP(A45,Datos!$A$2:$H$1084,4,FALSE)</f>
        <v>0.01</v>
      </c>
      <c r="D45" t="str">
        <f>VLOOKUP(A45,Datos!$A$2:$H$1084,5,FALSE)</f>
        <v>0.30</v>
      </c>
      <c r="E45" t="str">
        <f>VLOOKUP(A45,Datos!$A$2:$H$1084,6,FALSE)</f>
        <v>12.01</v>
      </c>
      <c r="F45" t="str">
        <f>VLOOKUP(A45,Datos!$A$2:$H$1084,7,FALSE)</f>
        <v>0.01</v>
      </c>
      <c r="G45" t="str">
        <f>VLOOKUP(A45,Datos!$A$2:$H$1084,8,FALSE)</f>
        <v>0.04</v>
      </c>
    </row>
    <row r="46" spans="1:7" x14ac:dyDescent="0.3">
      <c r="A46" s="1">
        <v>72643</v>
      </c>
      <c r="B46" t="str">
        <f>VLOOKUP(A46,Datos!$A$2:$H$1084,3,FALSE)</f>
        <v>36.73</v>
      </c>
      <c r="C46" t="str">
        <f>VLOOKUP(A46,Datos!$A$2:$H$1084,4,FALSE)</f>
        <v>0.00</v>
      </c>
      <c r="D46" t="str">
        <f>VLOOKUP(A46,Datos!$A$2:$H$1084,5,FALSE)</f>
        <v>0.40</v>
      </c>
      <c r="E46" t="str">
        <f>VLOOKUP(A46,Datos!$A$2:$H$1084,6,FALSE)</f>
        <v>9.07</v>
      </c>
      <c r="F46" t="str">
        <f>VLOOKUP(A46,Datos!$A$2:$H$1084,7,FALSE)</f>
        <v>0.00</v>
      </c>
      <c r="G46" t="str">
        <f>VLOOKUP(A46,Datos!$A$2:$H$1084,8,FALSE)</f>
        <v>0.06</v>
      </c>
    </row>
    <row r="47" spans="1:7" x14ac:dyDescent="0.3">
      <c r="A47" s="1">
        <v>73280</v>
      </c>
      <c r="B47" t="str">
        <f>VLOOKUP(A47,Datos!$A$2:$H$1084,3,FALSE)</f>
        <v>25.58</v>
      </c>
      <c r="C47" t="str">
        <f>VLOOKUP(A47,Datos!$A$2:$H$1084,4,FALSE)</f>
        <v>0.00</v>
      </c>
      <c r="D47" t="str">
        <f>VLOOKUP(A47,Datos!$A$2:$H$1084,5,FALSE)</f>
        <v>0.13</v>
      </c>
      <c r="E47" t="str">
        <f>VLOOKUP(A47,Datos!$A$2:$H$1084,6,FALSE)</f>
        <v>10.84</v>
      </c>
      <c r="F47" t="str">
        <f>VLOOKUP(A47,Datos!$A$2:$H$1084,7,FALSE)</f>
        <v>0.00</v>
      </c>
      <c r="G47" t="str">
        <f>VLOOKUP(A47,Datos!$A$2:$H$1084,8,FALSE)</f>
        <v>0.02</v>
      </c>
    </row>
    <row r="48" spans="1:7" x14ac:dyDescent="0.3">
      <c r="A48" s="1">
        <v>60386</v>
      </c>
      <c r="B48" t="str">
        <f>VLOOKUP(A48,Datos!$A$2:$H$1084,3,FALSE)</f>
        <v>87.92</v>
      </c>
      <c r="C48" t="str">
        <f>VLOOKUP(A48,Datos!$A$2:$H$1084,4,FALSE)</f>
        <v>0.00</v>
      </c>
      <c r="D48" t="str">
        <f>VLOOKUP(A48,Datos!$A$2:$H$1084,5,FALSE)</f>
        <v>0.91</v>
      </c>
      <c r="E48" t="str">
        <f>VLOOKUP(A48,Datos!$A$2:$H$1084,6,FALSE)</f>
        <v>13.72</v>
      </c>
      <c r="F48" t="str">
        <f>VLOOKUP(A48,Datos!$A$2:$H$1084,7,FALSE)</f>
        <v>0.00</v>
      </c>
      <c r="G48" t="str">
        <f>VLOOKUP(A48,Datos!$A$2:$H$1084,8,FALSE)</f>
        <v>0.06</v>
      </c>
    </row>
    <row r="49" spans="1:7" x14ac:dyDescent="0.3">
      <c r="A49" s="1">
        <v>550417</v>
      </c>
      <c r="B49" t="str">
        <f>VLOOKUP(A49,Datos!$A$2:$H$1084,3,FALSE)</f>
        <v>55.20</v>
      </c>
      <c r="C49" t="str">
        <f>VLOOKUP(A49,Datos!$A$2:$H$1084,4,FALSE)</f>
        <v>0.00</v>
      </c>
      <c r="D49" t="str">
        <f>VLOOKUP(A49,Datos!$A$2:$H$1084,5,FALSE)</f>
        <v>0.35</v>
      </c>
      <c r="E49" t="str">
        <f>VLOOKUP(A49,Datos!$A$2:$H$1084,6,FALSE)</f>
        <v>18.29</v>
      </c>
      <c r="F49" t="str">
        <f>VLOOKUP(A49,Datos!$A$2:$H$1084,7,FALSE)</f>
        <v>0.00</v>
      </c>
      <c r="G49" t="str">
        <f>VLOOKUP(A49,Datos!$A$2:$H$1084,8,FALSE)</f>
        <v>0.07</v>
      </c>
    </row>
    <row r="50" spans="1:7" x14ac:dyDescent="0.3">
      <c r="A50" s="1">
        <v>169980</v>
      </c>
      <c r="B50" t="str">
        <f>VLOOKUP(A50,Datos!$A$2:$H$1084,3,FALSE)</f>
        <v>50.29</v>
      </c>
      <c r="C50" t="str">
        <f>VLOOKUP(A50,Datos!$A$2:$H$1084,4,FALSE)</f>
        <v>0.00</v>
      </c>
      <c r="D50" t="str">
        <f>VLOOKUP(A50,Datos!$A$2:$H$1084,5,FALSE)</f>
        <v>0.19</v>
      </c>
      <c r="E50" t="str">
        <f>VLOOKUP(A50,Datos!$A$2:$H$1084,6,FALSE)</f>
        <v>43.66</v>
      </c>
      <c r="F50" t="str">
        <f>VLOOKUP(A50,Datos!$A$2:$H$1084,7,FALSE)</f>
        <v>0.00</v>
      </c>
      <c r="G50" t="str">
        <f>VLOOKUP(A50,Datos!$A$2:$H$1084,8,FALSE)</f>
        <v>0.04</v>
      </c>
    </row>
    <row r="51" spans="1:7" x14ac:dyDescent="0.3">
      <c r="A51" s="1">
        <v>60225</v>
      </c>
      <c r="B51" t="str">
        <f>VLOOKUP(A51,Datos!$A$2:$H$1084,3,FALSE)</f>
        <v>42.17</v>
      </c>
      <c r="C51" t="str">
        <f>VLOOKUP(A51,Datos!$A$2:$H$1084,4,FALSE)</f>
        <v>0.00</v>
      </c>
      <c r="D51" t="str">
        <f>VLOOKUP(A51,Datos!$A$2:$H$1084,5,FALSE)</f>
        <v>0.34</v>
      </c>
      <c r="E51" t="str">
        <f>VLOOKUP(A51,Datos!$A$2:$H$1084,6,FALSE)</f>
        <v>20.12</v>
      </c>
      <c r="F51" t="str">
        <f>VLOOKUP(A51,Datos!$A$2:$H$1084,7,FALSE)</f>
        <v>0.00</v>
      </c>
      <c r="G51" t="str">
        <f>VLOOKUP(A51,Datos!$A$2:$H$1084,8,FALSE)</f>
        <v>0.05</v>
      </c>
    </row>
    <row r="52" spans="1:7" x14ac:dyDescent="0.3">
      <c r="A52" s="1">
        <v>62465</v>
      </c>
      <c r="B52" t="str">
        <f>VLOOKUP(A52,Datos!$A$2:$H$1084,3,FALSE)</f>
        <v>35.89</v>
      </c>
      <c r="C52" t="str">
        <f>VLOOKUP(A52,Datos!$A$2:$H$1084,4,FALSE)</f>
        <v>0.00</v>
      </c>
      <c r="D52" t="str">
        <f>VLOOKUP(A52,Datos!$A$2:$H$1084,5,FALSE)</f>
        <v>0.10</v>
      </c>
      <c r="E52" t="str">
        <f>VLOOKUP(A52,Datos!$A$2:$H$1084,6,FALSE)</f>
        <v>4.72</v>
      </c>
      <c r="F52" t="str">
        <f>VLOOKUP(A52,Datos!$A$2:$H$1084,7,FALSE)</f>
        <v>0.00</v>
      </c>
      <c r="G52" t="str">
        <f>VLOOKUP(A52,Datos!$A$2:$H$1084,8,FALSE)</f>
        <v>0.02</v>
      </c>
    </row>
    <row r="53" spans="1:7" x14ac:dyDescent="0.3">
      <c r="A53" s="1">
        <v>62861</v>
      </c>
      <c r="B53" t="str">
        <f>VLOOKUP(A53,Datos!$A$2:$H$1084,3,FALSE)</f>
        <v>45.45</v>
      </c>
      <c r="C53" t="str">
        <f>VLOOKUP(A53,Datos!$A$2:$H$1084,4,FALSE)</f>
        <v>0.00</v>
      </c>
      <c r="D53" t="str">
        <f>VLOOKUP(A53,Datos!$A$2:$H$1084,5,FALSE)</f>
        <v>0.15</v>
      </c>
      <c r="E53" t="str">
        <f>VLOOKUP(A53,Datos!$A$2:$H$1084,6,FALSE)</f>
        <v>9.43</v>
      </c>
      <c r="F53" t="str">
        <f>VLOOKUP(A53,Datos!$A$2:$H$1084,7,FALSE)</f>
        <v>0.00</v>
      </c>
      <c r="G53" t="str">
        <f>VLOOKUP(A53,Datos!$A$2:$H$1084,8,FALSE)</f>
        <v>0.02</v>
      </c>
    </row>
    <row r="54" spans="1:7" x14ac:dyDescent="0.3">
      <c r="A54" s="1">
        <v>468187</v>
      </c>
      <c r="B54" t="str">
        <f>VLOOKUP(A54,Datos!$A$2:$H$1084,3,FALSE)</f>
        <v>50.73</v>
      </c>
      <c r="C54" t="str">
        <f>VLOOKUP(A54,Datos!$A$2:$H$1084,4,FALSE)</f>
        <v>0.00</v>
      </c>
      <c r="D54" t="str">
        <f>VLOOKUP(A54,Datos!$A$2:$H$1084,5,FALSE)</f>
        <v>0.11</v>
      </c>
      <c r="E54" t="str">
        <f>VLOOKUP(A54,Datos!$A$2:$H$1084,6,FALSE)</f>
        <v>8.81</v>
      </c>
      <c r="F54" t="str">
        <f>VLOOKUP(A54,Datos!$A$2:$H$1084,7,FALSE)</f>
        <v>0.00</v>
      </c>
      <c r="G54" t="str">
        <f>VLOOKUP(A54,Datos!$A$2:$H$1084,8,FALSE)</f>
        <v>0.01</v>
      </c>
    </row>
    <row r="55" spans="1:7" x14ac:dyDescent="0.3">
      <c r="A55" s="1">
        <v>538816</v>
      </c>
      <c r="B55" t="str">
        <f>VLOOKUP(A55,Datos!$A$2:$H$1084,3,FALSE)</f>
        <v>26.85</v>
      </c>
      <c r="C55" t="str">
        <f>VLOOKUP(A55,Datos!$A$2:$H$1084,4,FALSE)</f>
        <v>0.00</v>
      </c>
      <c r="D55" t="str">
        <f>VLOOKUP(A55,Datos!$A$2:$H$1084,5,FALSE)</f>
        <v>0.14</v>
      </c>
      <c r="E55" t="str">
        <f>VLOOKUP(A55,Datos!$A$2:$H$1084,6,FALSE)</f>
        <v>4.18</v>
      </c>
      <c r="F55" t="str">
        <f>VLOOKUP(A55,Datos!$A$2:$H$1084,7,FALSE)</f>
        <v>0.00</v>
      </c>
      <c r="G55" t="str">
        <f>VLOOKUP(A55,Datos!$A$2:$H$1084,8,FALSE)</f>
        <v>0.02</v>
      </c>
    </row>
    <row r="56" spans="1:7" x14ac:dyDescent="0.3">
      <c r="A56" s="1">
        <v>169428</v>
      </c>
      <c r="B56" t="str">
        <f>VLOOKUP(A56,Datos!$A$2:$H$1084,3,FALSE)</f>
        <v>21.47</v>
      </c>
      <c r="C56" t="str">
        <f>VLOOKUP(A56,Datos!$A$2:$H$1084,4,FALSE)</f>
        <v>0.00</v>
      </c>
      <c r="D56" t="str">
        <f>VLOOKUP(A56,Datos!$A$2:$H$1084,5,FALSE)</f>
        <v>0.06</v>
      </c>
      <c r="E56" t="str">
        <f>VLOOKUP(A56,Datos!$A$2:$H$1084,6,FALSE)</f>
        <v>1.26</v>
      </c>
      <c r="F56" t="str">
        <f>VLOOKUP(A56,Datos!$A$2:$H$1084,7,FALSE)</f>
        <v>0.00</v>
      </c>
      <c r="G56" t="str">
        <f>VLOOKUP(A56,Datos!$A$2:$H$1084,8,FALSE)</f>
        <v>0.01</v>
      </c>
    </row>
    <row r="57" spans="1:7" x14ac:dyDescent="0.3">
      <c r="A57" s="1">
        <v>458857</v>
      </c>
      <c r="B57" t="str">
        <f>VLOOKUP(A57,Datos!$A$2:$H$1084,3,FALSE)</f>
        <v>91.49</v>
      </c>
      <c r="C57" t="str">
        <f>VLOOKUP(A57,Datos!$A$2:$H$1084,4,FALSE)</f>
        <v>0.00</v>
      </c>
      <c r="D57" t="str">
        <f>VLOOKUP(A57,Datos!$A$2:$H$1084,5,FALSE)</f>
        <v>0.35</v>
      </c>
      <c r="E57" t="str">
        <f>VLOOKUP(A57,Datos!$A$2:$H$1084,6,FALSE)</f>
        <v>38.26</v>
      </c>
      <c r="F57" t="str">
        <f>VLOOKUP(A57,Datos!$A$2:$H$1084,7,FALSE)</f>
        <v>0.01</v>
      </c>
      <c r="G57" t="str">
        <f>VLOOKUP(A57,Datos!$A$2:$H$1084,8,FALSE)</f>
        <v>0.06</v>
      </c>
    </row>
    <row r="58" spans="1:7" x14ac:dyDescent="0.3">
      <c r="A58" s="1">
        <v>65572</v>
      </c>
      <c r="B58" t="str">
        <f>VLOOKUP(A58,Datos!$A$2:$H$1084,3,FALSE)</f>
        <v>24.71</v>
      </c>
      <c r="C58" t="str">
        <f>VLOOKUP(A58,Datos!$A$2:$H$1084,4,FALSE)</f>
        <v>0.00</v>
      </c>
      <c r="D58" t="str">
        <f>VLOOKUP(A58,Datos!$A$2:$H$1084,5,FALSE)</f>
        <v>0.36</v>
      </c>
      <c r="E58" t="str">
        <f>VLOOKUP(A58,Datos!$A$2:$H$1084,6,FALSE)</f>
        <v>4.76</v>
      </c>
      <c r="F58" t="str">
        <f>VLOOKUP(A58,Datos!$A$2:$H$1084,7,FALSE)</f>
        <v>0.00</v>
      </c>
      <c r="G58" t="str">
        <f>VLOOKUP(A58,Datos!$A$2:$H$1084,8,FALSE)</f>
        <v>0.03</v>
      </c>
    </row>
    <row r="59" spans="1:7" x14ac:dyDescent="0.3">
      <c r="A59" s="1">
        <v>59769</v>
      </c>
      <c r="B59" t="str">
        <f>VLOOKUP(A59,Datos!$A$2:$H$1084,3,FALSE)</f>
        <v>6.57</v>
      </c>
      <c r="C59" t="str">
        <f>VLOOKUP(A59,Datos!$A$2:$H$1084,4,FALSE)</f>
        <v>0.01</v>
      </c>
      <c r="D59" t="str">
        <f>VLOOKUP(A59,Datos!$A$2:$H$1084,5,FALSE)</f>
        <v>0.02</v>
      </c>
      <c r="E59" t="str">
        <f>VLOOKUP(A59,Datos!$A$2:$H$1084,6,FALSE)</f>
        <v>2.05</v>
      </c>
      <c r="F59" t="str">
        <f>VLOOKUP(A59,Datos!$A$2:$H$1084,7,FALSE)</f>
        <v>0.01</v>
      </c>
      <c r="G59" t="str">
        <f>VLOOKUP(A59,Datos!$A$2:$H$1084,8,FALSE)</f>
        <v>0.01</v>
      </c>
    </row>
    <row r="60" spans="1:7" x14ac:dyDescent="0.3">
      <c r="A60" s="1">
        <v>55356</v>
      </c>
      <c r="B60" t="str">
        <f>VLOOKUP(A60,Datos!$A$2:$H$1084,3,FALSE)</f>
        <v>82.51</v>
      </c>
      <c r="C60" t="str">
        <f>VLOOKUP(A60,Datos!$A$2:$H$1084,4,FALSE)</f>
        <v>0.00</v>
      </c>
      <c r="D60" t="str">
        <f>VLOOKUP(A60,Datos!$A$2:$H$1084,5,FALSE)</f>
        <v>0.65</v>
      </c>
      <c r="E60" t="str">
        <f>VLOOKUP(A60,Datos!$A$2:$H$1084,6,FALSE)</f>
        <v>31.20</v>
      </c>
      <c r="F60" t="str">
        <f>VLOOKUP(A60,Datos!$A$2:$H$1084,7,FALSE)</f>
        <v>0.00</v>
      </c>
      <c r="G60" t="str">
        <f>VLOOKUP(A60,Datos!$A$2:$H$1084,8,FALSE)</f>
        <v>0.07</v>
      </c>
    </row>
    <row r="61" spans="1:7" x14ac:dyDescent="0.3">
      <c r="A61" s="1">
        <v>463590</v>
      </c>
      <c r="B61" t="str">
        <f>VLOOKUP(A61,Datos!$A$2:$H$1084,3,FALSE)</f>
        <v>55.59</v>
      </c>
      <c r="C61" t="str">
        <f>VLOOKUP(A61,Datos!$A$2:$H$1084,4,FALSE)</f>
        <v>0.01</v>
      </c>
      <c r="D61" t="str">
        <f>VLOOKUP(A61,Datos!$A$2:$H$1084,5,FALSE)</f>
        <v>2.16</v>
      </c>
      <c r="E61" t="str">
        <f>VLOOKUP(A61,Datos!$A$2:$H$1084,6,FALSE)</f>
        <v>8.67</v>
      </c>
      <c r="F61" t="str">
        <f>VLOOKUP(A61,Datos!$A$2:$H$1084,7,FALSE)</f>
        <v>0.01</v>
      </c>
      <c r="G61" t="str">
        <f>VLOOKUP(A61,Datos!$A$2:$H$1084,8,FALSE)</f>
        <v>0.21</v>
      </c>
    </row>
    <row r="62" spans="1:7" x14ac:dyDescent="0.3">
      <c r="A62" s="1">
        <v>61300</v>
      </c>
      <c r="B62" t="str">
        <f>VLOOKUP(A62,Datos!$A$2:$H$1084,3,FALSE)</f>
        <v>86.55</v>
      </c>
      <c r="C62" t="str">
        <f>VLOOKUP(A62,Datos!$A$2:$H$1084,4,FALSE)</f>
        <v>0.01</v>
      </c>
      <c r="D62" t="str">
        <f>VLOOKUP(A62,Datos!$A$2:$H$1084,5,FALSE)</f>
        <v>0.24</v>
      </c>
      <c r="E62" t="str">
        <f>VLOOKUP(A62,Datos!$A$2:$H$1084,6,FALSE)</f>
        <v>8.70</v>
      </c>
      <c r="F62" t="str">
        <f>VLOOKUP(A62,Datos!$A$2:$H$1084,7,FALSE)</f>
        <v>0.01</v>
      </c>
      <c r="G62" t="str">
        <f>VLOOKUP(A62,Datos!$A$2:$H$1084,8,FALSE)</f>
        <v>0.05</v>
      </c>
    </row>
    <row r="63" spans="1:7" x14ac:dyDescent="0.3">
      <c r="A63" s="1">
        <v>42420</v>
      </c>
      <c r="B63" t="str">
        <f>VLOOKUP(A63,Datos!$A$2:$H$1084,3,FALSE)</f>
        <v>102.83</v>
      </c>
      <c r="C63" t="str">
        <f>VLOOKUP(A63,Datos!$A$2:$H$1084,4,FALSE)</f>
        <v>0.00</v>
      </c>
      <c r="D63" t="str">
        <f>VLOOKUP(A63,Datos!$A$2:$H$1084,5,FALSE)</f>
        <v>3.22</v>
      </c>
      <c r="E63" t="str">
        <f>VLOOKUP(A63,Datos!$A$2:$H$1084,6,FALSE)</f>
        <v>12.81</v>
      </c>
      <c r="F63" t="str">
        <f>VLOOKUP(A63,Datos!$A$2:$H$1084,7,FALSE)</f>
        <v>0.00</v>
      </c>
      <c r="G63" t="str">
        <f>VLOOKUP(A63,Datos!$A$2:$H$1084,8,FALSE)</f>
        <v>0.20</v>
      </c>
    </row>
    <row r="64" spans="1:7" x14ac:dyDescent="0.3">
      <c r="A64" s="1">
        <v>149261</v>
      </c>
      <c r="B64" t="str">
        <f>VLOOKUP(A64,Datos!$A$2:$H$1084,3,FALSE)</f>
        <v>67.99</v>
      </c>
      <c r="C64" t="str">
        <f>VLOOKUP(A64,Datos!$A$2:$H$1084,4,FALSE)</f>
        <v>0.01</v>
      </c>
      <c r="D64" t="str">
        <f>VLOOKUP(A64,Datos!$A$2:$H$1084,5,FALSE)</f>
        <v>0.22</v>
      </c>
      <c r="E64" t="str">
        <f>VLOOKUP(A64,Datos!$A$2:$H$1084,6,FALSE)</f>
        <v>14.11</v>
      </c>
      <c r="F64" t="str">
        <f>VLOOKUP(A64,Datos!$A$2:$H$1084,7,FALSE)</f>
        <v>0.01</v>
      </c>
      <c r="G64" t="str">
        <f>VLOOKUP(A64,Datos!$A$2:$H$1084,8,FALSE)</f>
        <v>0.03</v>
      </c>
    </row>
    <row r="65" spans="1:7" x14ac:dyDescent="0.3">
      <c r="A65" s="1">
        <v>444115</v>
      </c>
      <c r="B65" t="str">
        <f>VLOOKUP(A65,Datos!$A$2:$H$1084,3,FALSE)</f>
        <v>57.91</v>
      </c>
      <c r="C65" t="str">
        <f>VLOOKUP(A65,Datos!$A$2:$H$1084,4,FALSE)</f>
        <v>0.00</v>
      </c>
      <c r="D65" t="str">
        <f>VLOOKUP(A65,Datos!$A$2:$H$1084,5,FALSE)</f>
        <v>0.07</v>
      </c>
      <c r="E65" t="str">
        <f>VLOOKUP(A65,Datos!$A$2:$H$1084,6,FALSE)</f>
        <v>7.08</v>
      </c>
      <c r="F65" t="str">
        <f>VLOOKUP(A65,Datos!$A$2:$H$1084,7,FALSE)</f>
        <v>0.00</v>
      </c>
      <c r="G65" t="str">
        <f>VLOOKUP(A65,Datos!$A$2:$H$1084,8,FALSE)</f>
        <v>0.01</v>
      </c>
    </row>
    <row r="66" spans="1:7" x14ac:dyDescent="0.3">
      <c r="A66" s="1">
        <v>822753</v>
      </c>
      <c r="B66" t="str">
        <f>VLOOKUP(A66,Datos!$A$2:$H$1084,3,FALSE)</f>
        <v>39.59</v>
      </c>
      <c r="C66" t="str">
        <f>VLOOKUP(A66,Datos!$A$2:$H$1084,4,FALSE)</f>
        <v>0.00</v>
      </c>
      <c r="D66" t="str">
        <f>VLOOKUP(A66,Datos!$A$2:$H$1084,5,FALSE)</f>
        <v>0.63</v>
      </c>
      <c r="E66" t="str">
        <f>VLOOKUP(A66,Datos!$A$2:$H$1084,6,FALSE)</f>
        <v>21.28</v>
      </c>
      <c r="F66" t="str">
        <f>VLOOKUP(A66,Datos!$A$2:$H$1084,7,FALSE)</f>
        <v>0.00</v>
      </c>
      <c r="G66" t="str">
        <f>VLOOKUP(A66,Datos!$A$2:$H$1084,8,FALSE)</f>
        <v>0.09</v>
      </c>
    </row>
    <row r="67" spans="1:7" x14ac:dyDescent="0.3">
      <c r="A67" s="1">
        <v>441414</v>
      </c>
      <c r="B67" t="str">
        <f>VLOOKUP(A67,Datos!$A$2:$H$1084,3,FALSE)</f>
        <v>29.06</v>
      </c>
      <c r="C67" t="str">
        <f>VLOOKUP(A67,Datos!$A$2:$H$1084,4,FALSE)</f>
        <v>0.00</v>
      </c>
      <c r="D67" t="str">
        <f>VLOOKUP(A67,Datos!$A$2:$H$1084,5,FALSE)</f>
        <v>0.19</v>
      </c>
      <c r="E67" t="str">
        <f>VLOOKUP(A67,Datos!$A$2:$H$1084,6,FALSE)</f>
        <v>2.20</v>
      </c>
      <c r="F67" t="str">
        <f>VLOOKUP(A67,Datos!$A$2:$H$1084,7,FALSE)</f>
        <v>0.00</v>
      </c>
      <c r="G67" t="str">
        <f>VLOOKUP(A67,Datos!$A$2:$H$1084,8,FALSE)</f>
        <v>0.02</v>
      </c>
    </row>
    <row r="68" spans="1:7" x14ac:dyDescent="0.3">
      <c r="A68" s="1">
        <v>167684</v>
      </c>
      <c r="B68" t="str">
        <f>VLOOKUP(A68,Datos!$A$2:$H$1084,3,FALSE)</f>
        <v>53.75</v>
      </c>
      <c r="C68" t="str">
        <f>VLOOKUP(A68,Datos!$A$2:$H$1084,4,FALSE)</f>
        <v>0.01</v>
      </c>
      <c r="D68" t="str">
        <f>VLOOKUP(A68,Datos!$A$2:$H$1084,5,FALSE)</f>
        <v>0.22</v>
      </c>
      <c r="E68" t="str">
        <f>VLOOKUP(A68,Datos!$A$2:$H$1084,6,FALSE)</f>
        <v>19.58</v>
      </c>
      <c r="F68" t="str">
        <f>VLOOKUP(A68,Datos!$A$2:$H$1084,7,FALSE)</f>
        <v>0.01</v>
      </c>
      <c r="G68" t="str">
        <f>VLOOKUP(A68,Datos!$A$2:$H$1084,8,FALSE)</f>
        <v>0.03</v>
      </c>
    </row>
    <row r="69" spans="1:7" x14ac:dyDescent="0.3">
      <c r="A69" s="1">
        <v>64916</v>
      </c>
      <c r="B69" t="str">
        <f>VLOOKUP(A69,Datos!$A$2:$H$1084,3,FALSE)</f>
        <v>38.58</v>
      </c>
      <c r="C69" t="str">
        <f>VLOOKUP(A69,Datos!$A$2:$H$1084,4,FALSE)</f>
        <v>0.01</v>
      </c>
      <c r="D69" t="str">
        <f>VLOOKUP(A69,Datos!$A$2:$H$1084,5,FALSE)</f>
        <v>0.11</v>
      </c>
      <c r="E69" t="str">
        <f>VLOOKUP(A69,Datos!$A$2:$H$1084,6,FALSE)</f>
        <v>2.13</v>
      </c>
      <c r="F69" t="str">
        <f>VLOOKUP(A69,Datos!$A$2:$H$1084,7,FALSE)</f>
        <v>0.01</v>
      </c>
      <c r="G69" t="str">
        <f>VLOOKUP(A69,Datos!$A$2:$H$1084,8,FALSE)</f>
        <v>0.02</v>
      </c>
    </row>
    <row r="70" spans="1:7" x14ac:dyDescent="0.3">
      <c r="A70" s="1">
        <v>146286</v>
      </c>
      <c r="B70" t="str">
        <f>VLOOKUP(A70,Datos!$A$2:$H$1084,3,FALSE)</f>
        <v>14.44</v>
      </c>
      <c r="C70" t="str">
        <f>VLOOKUP(A70,Datos!$A$2:$H$1084,4,FALSE)</f>
        <v>0.00</v>
      </c>
      <c r="D70" t="str">
        <f>VLOOKUP(A70,Datos!$A$2:$H$1084,5,FALSE)</f>
        <v>0.03</v>
      </c>
      <c r="E70" t="str">
        <f>VLOOKUP(A70,Datos!$A$2:$H$1084,6,FALSE)</f>
        <v>14.36</v>
      </c>
      <c r="F70" t="str">
        <f>VLOOKUP(A70,Datos!$A$2:$H$1084,7,FALSE)</f>
        <v>0.00</v>
      </c>
      <c r="G70" t="str">
        <f>VLOOKUP(A70,Datos!$A$2:$H$1084,8,FALSE)</f>
        <v>0.02</v>
      </c>
    </row>
    <row r="71" spans="1:7" x14ac:dyDescent="0.3">
      <c r="A71" s="1">
        <v>464014</v>
      </c>
      <c r="B71" t="str">
        <f>VLOOKUP(A71,Datos!$A$2:$H$1084,3,FALSE)</f>
        <v>68.92</v>
      </c>
      <c r="C71" t="str">
        <f>VLOOKUP(A71,Datos!$A$2:$H$1084,4,FALSE)</f>
        <v>0.00</v>
      </c>
      <c r="D71" t="str">
        <f>VLOOKUP(A71,Datos!$A$2:$H$1084,5,FALSE)</f>
        <v>1.22</v>
      </c>
      <c r="E71" t="str">
        <f>VLOOKUP(A71,Datos!$A$2:$H$1084,6,FALSE)</f>
        <v>16.58</v>
      </c>
      <c r="F71" t="str">
        <f>VLOOKUP(A71,Datos!$A$2:$H$1084,7,FALSE)</f>
        <v>0.00</v>
      </c>
      <c r="G71" t="str">
        <f>VLOOKUP(A71,Datos!$A$2:$H$1084,8,FALSE)</f>
        <v>0.17</v>
      </c>
    </row>
    <row r="72" spans="1:7" x14ac:dyDescent="0.3">
      <c r="A72" s="1">
        <v>527375</v>
      </c>
      <c r="B72" t="str">
        <f>VLOOKUP(A72,Datos!$A$2:$H$1084,3,FALSE)</f>
        <v>39.78</v>
      </c>
      <c r="C72" t="str">
        <f>VLOOKUP(A72,Datos!$A$2:$H$1084,4,FALSE)</f>
        <v>0.01</v>
      </c>
      <c r="D72" t="str">
        <f>VLOOKUP(A72,Datos!$A$2:$H$1084,5,FALSE)</f>
        <v>0.21</v>
      </c>
      <c r="E72" t="str">
        <f>VLOOKUP(A72,Datos!$A$2:$H$1084,6,FALSE)</f>
        <v>24.68</v>
      </c>
      <c r="F72" t="str">
        <f>VLOOKUP(A72,Datos!$A$2:$H$1084,7,FALSE)</f>
        <v>0.01</v>
      </c>
      <c r="G72" t="str">
        <f>VLOOKUP(A72,Datos!$A$2:$H$1084,8,FALSE)</f>
        <v>0.08</v>
      </c>
    </row>
    <row r="73" spans="1:7" x14ac:dyDescent="0.3">
      <c r="A73" s="1">
        <v>151305</v>
      </c>
      <c r="B73" t="str">
        <f>VLOOKUP(A73,Datos!$A$2:$H$1084,3,FALSE)</f>
        <v>46.48</v>
      </c>
      <c r="C73" t="str">
        <f>VLOOKUP(A73,Datos!$A$2:$H$1084,4,FALSE)</f>
        <v>0.00</v>
      </c>
      <c r="D73" t="str">
        <f>VLOOKUP(A73,Datos!$A$2:$H$1084,5,FALSE)</f>
        <v>0.31</v>
      </c>
      <c r="E73" t="str">
        <f>VLOOKUP(A73,Datos!$A$2:$H$1084,6,FALSE)</f>
        <v>7.54</v>
      </c>
      <c r="F73" t="str">
        <f>VLOOKUP(A73,Datos!$A$2:$H$1084,7,FALSE)</f>
        <v>0.00</v>
      </c>
      <c r="G73" t="str">
        <f>VLOOKUP(A73,Datos!$A$2:$H$1084,8,FALSE)</f>
        <v>0.04</v>
      </c>
    </row>
    <row r="74" spans="1:7" x14ac:dyDescent="0.3">
      <c r="A74" s="1">
        <v>459164</v>
      </c>
      <c r="B74" t="str">
        <f>VLOOKUP(A74,Datos!$A$2:$H$1084,3,FALSE)</f>
        <v>37.93</v>
      </c>
      <c r="C74" t="str">
        <f>VLOOKUP(A74,Datos!$A$2:$H$1084,4,FALSE)</f>
        <v>0.00</v>
      </c>
      <c r="D74" t="str">
        <f>VLOOKUP(A74,Datos!$A$2:$H$1084,5,FALSE)</f>
        <v>0.10</v>
      </c>
      <c r="E74" t="str">
        <f>VLOOKUP(A74,Datos!$A$2:$H$1084,6,FALSE)</f>
        <v>8.78</v>
      </c>
      <c r="F74" t="str">
        <f>VLOOKUP(A74,Datos!$A$2:$H$1084,7,FALSE)</f>
        <v>0.00</v>
      </c>
      <c r="G74" t="str">
        <f>VLOOKUP(A74,Datos!$A$2:$H$1084,8,FALSE)</f>
        <v>0.02</v>
      </c>
    </row>
    <row r="75" spans="1:7" x14ac:dyDescent="0.3">
      <c r="A75" s="1">
        <v>169150</v>
      </c>
      <c r="B75" t="str">
        <f>VLOOKUP(A75,Datos!$A$2:$H$1084,3,FALSE)</f>
        <v>93.96</v>
      </c>
      <c r="C75" t="str">
        <f>VLOOKUP(A75,Datos!$A$2:$H$1084,4,FALSE)</f>
        <v>0.00</v>
      </c>
      <c r="D75" t="str">
        <f>VLOOKUP(A75,Datos!$A$2:$H$1084,5,FALSE)</f>
        <v>0.72</v>
      </c>
      <c r="E75" t="str">
        <f>VLOOKUP(A75,Datos!$A$2:$H$1084,6,FALSE)</f>
        <v>59.85</v>
      </c>
      <c r="F75" t="str">
        <f>VLOOKUP(A75,Datos!$A$2:$H$1084,7,FALSE)</f>
        <v>0.00</v>
      </c>
      <c r="G75" t="str">
        <f>VLOOKUP(A75,Datos!$A$2:$H$1084,8,FALSE)</f>
        <v>0.12</v>
      </c>
    </row>
    <row r="76" spans="1:7" x14ac:dyDescent="0.3">
      <c r="A76" s="1">
        <v>64054</v>
      </c>
      <c r="B76" t="str">
        <f>VLOOKUP(A76,Datos!$A$2:$H$1084,3,FALSE)</f>
        <v>22.58</v>
      </c>
      <c r="C76" t="str">
        <f>VLOOKUP(A76,Datos!$A$2:$H$1084,4,FALSE)</f>
        <v>0.00</v>
      </c>
      <c r="D76" t="str">
        <f>VLOOKUP(A76,Datos!$A$2:$H$1084,5,FALSE)</f>
        <v>0.12</v>
      </c>
      <c r="E76" t="str">
        <f>VLOOKUP(A76,Datos!$A$2:$H$1084,6,FALSE)</f>
        <v>8.00</v>
      </c>
      <c r="F76" t="str">
        <f>VLOOKUP(A76,Datos!$A$2:$H$1084,7,FALSE)</f>
        <v>0.00</v>
      </c>
      <c r="G76" t="str">
        <f>VLOOKUP(A76,Datos!$A$2:$H$1084,8,FALSE)</f>
        <v>0.02</v>
      </c>
    </row>
    <row r="77" spans="1:7" x14ac:dyDescent="0.3">
      <c r="A77" s="1">
        <v>44645</v>
      </c>
      <c r="B77" t="str">
        <f>VLOOKUP(A77,Datos!$A$2:$H$1084,3,FALSE)</f>
        <v>129.98</v>
      </c>
      <c r="C77" t="str">
        <f>VLOOKUP(A77,Datos!$A$2:$H$1084,4,FALSE)</f>
        <v>0.00</v>
      </c>
      <c r="D77" t="str">
        <f>VLOOKUP(A77,Datos!$A$2:$H$1084,5,FALSE)</f>
        <v>0.39</v>
      </c>
      <c r="E77" t="str">
        <f>VLOOKUP(A77,Datos!$A$2:$H$1084,6,FALSE)</f>
        <v>31.70</v>
      </c>
      <c r="F77" t="str">
        <f>VLOOKUP(A77,Datos!$A$2:$H$1084,7,FALSE)</f>
        <v>0.00</v>
      </c>
      <c r="G77" t="str">
        <f>VLOOKUP(A77,Datos!$A$2:$H$1084,8,FALSE)</f>
        <v>0.06</v>
      </c>
    </row>
    <row r="78" spans="1:7" x14ac:dyDescent="0.3">
      <c r="A78" s="1">
        <v>46890</v>
      </c>
      <c r="B78" t="str">
        <f>VLOOKUP(A78,Datos!$A$2:$H$1084,3,FALSE)</f>
        <v>98.30</v>
      </c>
      <c r="C78" t="str">
        <f>VLOOKUP(A78,Datos!$A$2:$H$1084,4,FALSE)</f>
        <v>0.00</v>
      </c>
      <c r="D78" t="str">
        <f>VLOOKUP(A78,Datos!$A$2:$H$1084,5,FALSE)</f>
        <v>2.14</v>
      </c>
      <c r="E78" t="str">
        <f>VLOOKUP(A78,Datos!$A$2:$H$1084,6,FALSE)</f>
        <v>25.57</v>
      </c>
      <c r="F78" t="str">
        <f>VLOOKUP(A78,Datos!$A$2:$H$1084,7,FALSE)</f>
        <v>0.00</v>
      </c>
      <c r="G78" t="str">
        <f>VLOOKUP(A78,Datos!$A$2:$H$1084,8,FALSE)</f>
        <v>0.17</v>
      </c>
    </row>
    <row r="79" spans="1:7" x14ac:dyDescent="0.3">
      <c r="A79" s="1">
        <v>170281</v>
      </c>
      <c r="B79" t="str">
        <f>VLOOKUP(A79,Datos!$A$2:$H$1084,3,FALSE)</f>
        <v>72.95</v>
      </c>
      <c r="C79" t="str">
        <f>VLOOKUP(A79,Datos!$A$2:$H$1084,4,FALSE)</f>
        <v>0.00</v>
      </c>
      <c r="D79" t="str">
        <f>VLOOKUP(A79,Datos!$A$2:$H$1084,5,FALSE)</f>
        <v>1.40</v>
      </c>
      <c r="E79" t="str">
        <f>VLOOKUP(A79,Datos!$A$2:$H$1084,6,FALSE)</f>
        <v>11.52</v>
      </c>
      <c r="F79" t="str">
        <f>VLOOKUP(A79,Datos!$A$2:$H$1084,7,FALSE)</f>
        <v>0.00</v>
      </c>
      <c r="G79" t="str">
        <f>VLOOKUP(A79,Datos!$A$2:$H$1084,8,FALSE)</f>
        <v>0.11</v>
      </c>
    </row>
    <row r="80" spans="1:7" x14ac:dyDescent="0.3">
      <c r="A80" s="1">
        <v>65510</v>
      </c>
      <c r="B80" t="str">
        <f>VLOOKUP(A80,Datos!$A$2:$H$1084,3,FALSE)</f>
        <v>51.57</v>
      </c>
      <c r="C80" t="str">
        <f>VLOOKUP(A80,Datos!$A$2:$H$1084,4,FALSE)</f>
        <v>0.00</v>
      </c>
      <c r="D80" t="str">
        <f>VLOOKUP(A80,Datos!$A$2:$H$1084,5,FALSE)</f>
        <v>0.24</v>
      </c>
      <c r="E80" t="str">
        <f>VLOOKUP(A80,Datos!$A$2:$H$1084,6,FALSE)</f>
        <v>19.09</v>
      </c>
      <c r="F80" t="str">
        <f>VLOOKUP(A80,Datos!$A$2:$H$1084,7,FALSE)</f>
        <v>0.00</v>
      </c>
      <c r="G80" t="str">
        <f>VLOOKUP(A80,Datos!$A$2:$H$1084,8,FALSE)</f>
        <v>0.04</v>
      </c>
    </row>
    <row r="81" spans="1:7" x14ac:dyDescent="0.3">
      <c r="A81" s="1">
        <v>151598</v>
      </c>
      <c r="B81" t="str">
        <f>VLOOKUP(A81,Datos!$A$2:$H$1084,3,FALSE)</f>
        <v>40.17</v>
      </c>
      <c r="C81" t="str">
        <f>VLOOKUP(A81,Datos!$A$2:$H$1084,4,FALSE)</f>
        <v>0.00</v>
      </c>
      <c r="D81" t="str">
        <f>VLOOKUP(A81,Datos!$A$2:$H$1084,5,FALSE)</f>
        <v>0.62</v>
      </c>
      <c r="E81" t="str">
        <f>VLOOKUP(A81,Datos!$A$2:$H$1084,6,FALSE)</f>
        <v>5.28</v>
      </c>
      <c r="F81" t="str">
        <f>VLOOKUP(A81,Datos!$A$2:$H$1084,7,FALSE)</f>
        <v>0.00</v>
      </c>
      <c r="G81" t="str">
        <f>VLOOKUP(A81,Datos!$A$2:$H$1084,8,FALSE)</f>
        <v>0.05</v>
      </c>
    </row>
    <row r="82" spans="1:7" x14ac:dyDescent="0.3">
      <c r="A82" s="1">
        <v>64983</v>
      </c>
      <c r="B82" t="str">
        <f>VLOOKUP(A82,Datos!$A$2:$H$1084,3,FALSE)</f>
        <v>41.16</v>
      </c>
      <c r="C82" t="str">
        <f>VLOOKUP(A82,Datos!$A$2:$H$1084,4,FALSE)</f>
        <v>0.00</v>
      </c>
      <c r="D82" t="str">
        <f>VLOOKUP(A82,Datos!$A$2:$H$1084,5,FALSE)</f>
        <v>0.33</v>
      </c>
      <c r="E82" t="str">
        <f>VLOOKUP(A82,Datos!$A$2:$H$1084,6,FALSE)</f>
        <v>10.23</v>
      </c>
      <c r="F82" t="str">
        <f>VLOOKUP(A82,Datos!$A$2:$H$1084,7,FALSE)</f>
        <v>0.00</v>
      </c>
      <c r="G82" t="str">
        <f>VLOOKUP(A82,Datos!$A$2:$H$1084,8,FALSE)</f>
        <v>0.03</v>
      </c>
    </row>
    <row r="83" spans="1:7" x14ac:dyDescent="0.3">
      <c r="A83" s="1">
        <v>441329</v>
      </c>
      <c r="B83" t="str">
        <f>VLOOKUP(A83,Datos!$A$2:$H$1084,3,FALSE)</f>
        <v>34.06</v>
      </c>
      <c r="C83" t="str">
        <f>VLOOKUP(A83,Datos!$A$2:$H$1084,4,FALSE)</f>
        <v>0.00</v>
      </c>
      <c r="D83" t="str">
        <f>VLOOKUP(A83,Datos!$A$2:$H$1084,5,FALSE)</f>
        <v>0.20</v>
      </c>
      <c r="E83" t="str">
        <f>VLOOKUP(A83,Datos!$A$2:$H$1084,6,FALSE)</f>
        <v>6.87</v>
      </c>
      <c r="F83" t="str">
        <f>VLOOKUP(A83,Datos!$A$2:$H$1084,7,FALSE)</f>
        <v>0.00</v>
      </c>
      <c r="G83" t="str">
        <f>VLOOKUP(A83,Datos!$A$2:$H$1084,8,FALSE)</f>
        <v>0.02</v>
      </c>
    </row>
    <row r="84" spans="1:7" x14ac:dyDescent="0.3">
      <c r="A84" s="1">
        <v>486426</v>
      </c>
      <c r="B84" t="str">
        <f>VLOOKUP(A84,Datos!$A$2:$H$1084,3,FALSE)</f>
        <v>15.49</v>
      </c>
      <c r="C84" t="str">
        <f>VLOOKUP(A84,Datos!$A$2:$H$1084,4,FALSE)</f>
        <v>0.00</v>
      </c>
      <c r="D84" t="str">
        <f>VLOOKUP(A84,Datos!$A$2:$H$1084,5,FALSE)</f>
        <v>0.00</v>
      </c>
      <c r="E84" t="str">
        <f>VLOOKUP(A84,Datos!$A$2:$H$1084,6,FALSE)</f>
        <v>0.66</v>
      </c>
      <c r="F84" t="str">
        <f>VLOOKUP(A84,Datos!$A$2:$H$1084,7,FALSE)</f>
        <v>0.00</v>
      </c>
      <c r="G84" t="str">
        <f>VLOOKUP(A84,Datos!$A$2:$H$1084,8,FALSE)</f>
        <v>0.00</v>
      </c>
    </row>
    <row r="85" spans="1:7" x14ac:dyDescent="0.3">
      <c r="A85" s="1">
        <v>383193</v>
      </c>
      <c r="B85" t="str">
        <f>VLOOKUP(A85,Datos!$A$2:$H$1084,3,FALSE)</f>
        <v>59.23</v>
      </c>
      <c r="C85" t="str">
        <f>VLOOKUP(A85,Datos!$A$2:$H$1084,4,FALSE)</f>
        <v>0.01</v>
      </c>
      <c r="D85" t="str">
        <f>VLOOKUP(A85,Datos!$A$2:$H$1084,5,FALSE)</f>
        <v>0.31</v>
      </c>
      <c r="E85" t="str">
        <f>VLOOKUP(A85,Datos!$A$2:$H$1084,6,FALSE)</f>
        <v>7.34</v>
      </c>
      <c r="F85" t="str">
        <f>VLOOKUP(A85,Datos!$A$2:$H$1084,7,FALSE)</f>
        <v>0.01</v>
      </c>
      <c r="G85" t="str">
        <f>VLOOKUP(A85,Datos!$A$2:$H$1084,8,FALSE)</f>
        <v>0.04</v>
      </c>
    </row>
    <row r="86" spans="1:7" x14ac:dyDescent="0.3">
      <c r="A86" s="1">
        <v>444035</v>
      </c>
      <c r="B86" t="str">
        <f>VLOOKUP(A86,Datos!$A$2:$H$1084,3,FALSE)</f>
        <v>83.77</v>
      </c>
      <c r="C86" t="str">
        <f>VLOOKUP(A86,Datos!$A$2:$H$1084,4,FALSE)</f>
        <v>0.00</v>
      </c>
      <c r="D86" t="str">
        <f>VLOOKUP(A86,Datos!$A$2:$H$1084,5,FALSE)</f>
        <v>1.11</v>
      </c>
      <c r="E86" t="str">
        <f>VLOOKUP(A86,Datos!$A$2:$H$1084,6,FALSE)</f>
        <v>23.70</v>
      </c>
      <c r="F86" t="str">
        <f>VLOOKUP(A86,Datos!$A$2:$H$1084,7,FALSE)</f>
        <v>0.00</v>
      </c>
      <c r="G86" t="str">
        <f>VLOOKUP(A86,Datos!$A$2:$H$1084,8,FALSE)</f>
        <v>0.17</v>
      </c>
    </row>
    <row r="87" spans="1:7" x14ac:dyDescent="0.3">
      <c r="A87" s="1">
        <v>446708</v>
      </c>
      <c r="B87" t="str">
        <f>VLOOKUP(A87,Datos!$A$2:$H$1084,3,FALSE)</f>
        <v>50.96</v>
      </c>
      <c r="C87" t="str">
        <f>VLOOKUP(A87,Datos!$A$2:$H$1084,4,FALSE)</f>
        <v>0.01</v>
      </c>
      <c r="D87" t="str">
        <f>VLOOKUP(A87,Datos!$A$2:$H$1084,5,FALSE)</f>
        <v>1.53</v>
      </c>
      <c r="E87" t="str">
        <f>VLOOKUP(A87,Datos!$A$2:$H$1084,6,FALSE)</f>
        <v>27.53</v>
      </c>
      <c r="F87" t="str">
        <f>VLOOKUP(A87,Datos!$A$2:$H$1084,7,FALSE)</f>
        <v>0.01</v>
      </c>
      <c r="G87" t="str">
        <f>VLOOKUP(A87,Datos!$A$2:$H$1084,8,FALSE)</f>
        <v>0.21</v>
      </c>
    </row>
    <row r="88" spans="1:7" x14ac:dyDescent="0.3">
      <c r="A88" s="1">
        <v>43245</v>
      </c>
      <c r="B88" t="str">
        <f>VLOOKUP(A88,Datos!$A$2:$H$1084,3,FALSE)</f>
        <v>32.67</v>
      </c>
      <c r="C88" t="str">
        <f>VLOOKUP(A88,Datos!$A$2:$H$1084,4,FALSE)</f>
        <v>0.00</v>
      </c>
      <c r="D88" t="str">
        <f>VLOOKUP(A88,Datos!$A$2:$H$1084,5,FALSE)</f>
        <v>0.18</v>
      </c>
      <c r="E88" t="str">
        <f>VLOOKUP(A88,Datos!$A$2:$H$1084,6,FALSE)</f>
        <v>12.73</v>
      </c>
      <c r="F88" t="str">
        <f>VLOOKUP(A88,Datos!$A$2:$H$1084,7,FALSE)</f>
        <v>0.00</v>
      </c>
      <c r="G88" t="str">
        <f>VLOOKUP(A88,Datos!$A$2:$H$1084,8,FALSE)</f>
        <v>0.02</v>
      </c>
    </row>
    <row r="89" spans="1:7" x14ac:dyDescent="0.3">
      <c r="A89" s="1">
        <v>147728</v>
      </c>
      <c r="B89" t="str">
        <f>VLOOKUP(A89,Datos!$A$2:$H$1084,3,FALSE)</f>
        <v>91.15</v>
      </c>
      <c r="C89" t="str">
        <f>VLOOKUP(A89,Datos!$A$2:$H$1084,4,FALSE)</f>
        <v>0.00</v>
      </c>
      <c r="D89" t="str">
        <f>VLOOKUP(A89,Datos!$A$2:$H$1084,5,FALSE)</f>
        <v>0.57</v>
      </c>
      <c r="E89" t="str">
        <f>VLOOKUP(A89,Datos!$A$2:$H$1084,6,FALSE)</f>
        <v>27.77</v>
      </c>
      <c r="F89" t="str">
        <f>VLOOKUP(A89,Datos!$A$2:$H$1084,7,FALSE)</f>
        <v>0.00</v>
      </c>
      <c r="G89" t="str">
        <f>VLOOKUP(A89,Datos!$A$2:$H$1084,8,FALSE)</f>
        <v>0.05</v>
      </c>
    </row>
    <row r="90" spans="1:7" x14ac:dyDescent="0.3">
      <c r="A90" s="1">
        <v>148370</v>
      </c>
      <c r="B90" t="str">
        <f>VLOOKUP(A90,Datos!$A$2:$H$1084,3,FALSE)</f>
        <v>38.50</v>
      </c>
      <c r="C90" t="str">
        <f>VLOOKUP(A90,Datos!$A$2:$H$1084,4,FALSE)</f>
        <v>0.01</v>
      </c>
      <c r="D90" t="str">
        <f>VLOOKUP(A90,Datos!$A$2:$H$1084,5,FALSE)</f>
        <v>0.23</v>
      </c>
      <c r="E90" t="str">
        <f>VLOOKUP(A90,Datos!$A$2:$H$1084,6,FALSE)</f>
        <v>98.04</v>
      </c>
      <c r="F90" t="str">
        <f>VLOOKUP(A90,Datos!$A$2:$H$1084,7,FALSE)</f>
        <v>0.01</v>
      </c>
      <c r="G90" t="str">
        <f>VLOOKUP(A90,Datos!$A$2:$H$1084,8,FALSE)</f>
        <v>0.05</v>
      </c>
    </row>
    <row r="91" spans="1:7" x14ac:dyDescent="0.3">
      <c r="A91" s="1">
        <v>72902</v>
      </c>
      <c r="B91" t="str">
        <f>VLOOKUP(A91,Datos!$A$2:$H$1084,3,FALSE)</f>
        <v>97.90</v>
      </c>
      <c r="C91" t="str">
        <f>VLOOKUP(A91,Datos!$A$2:$H$1084,4,FALSE)</f>
        <v>0.00</v>
      </c>
      <c r="D91" t="str">
        <f>VLOOKUP(A91,Datos!$A$2:$H$1084,5,FALSE)</f>
        <v>0.37</v>
      </c>
      <c r="E91" t="str">
        <f>VLOOKUP(A91,Datos!$A$2:$H$1084,6,FALSE)</f>
        <v>5.65</v>
      </c>
      <c r="F91" t="str">
        <f>VLOOKUP(A91,Datos!$A$2:$H$1084,7,FALSE)</f>
        <v>0.00</v>
      </c>
      <c r="G91" t="str">
        <f>VLOOKUP(A91,Datos!$A$2:$H$1084,8,FALSE)</f>
        <v>0.03</v>
      </c>
    </row>
    <row r="92" spans="1:7" x14ac:dyDescent="0.3">
      <c r="A92" s="1">
        <v>148841</v>
      </c>
      <c r="B92" t="str">
        <f>VLOOKUP(A92,Datos!$A$2:$H$1084,3,FALSE)</f>
        <v>88.56</v>
      </c>
      <c r="C92" t="str">
        <f>VLOOKUP(A92,Datos!$A$2:$H$1084,4,FALSE)</f>
        <v>0.00</v>
      </c>
      <c r="D92" t="str">
        <f>VLOOKUP(A92,Datos!$A$2:$H$1084,5,FALSE)</f>
        <v>0.48</v>
      </c>
      <c r="E92" t="str">
        <f>VLOOKUP(A92,Datos!$A$2:$H$1084,6,FALSE)</f>
        <v>10.49</v>
      </c>
      <c r="F92" t="str">
        <f>VLOOKUP(A92,Datos!$A$2:$H$1084,7,FALSE)</f>
        <v>0.00</v>
      </c>
      <c r="G92" t="str">
        <f>VLOOKUP(A92,Datos!$A$2:$H$1084,8,FALSE)</f>
        <v>0.05</v>
      </c>
    </row>
    <row r="93" spans="1:7" x14ac:dyDescent="0.3">
      <c r="A93" s="1">
        <v>457594</v>
      </c>
      <c r="B93" t="str">
        <f>VLOOKUP(A93,Datos!$A$2:$H$1084,3,FALSE)</f>
        <v>33.37</v>
      </c>
      <c r="C93" t="str">
        <f>VLOOKUP(A93,Datos!$A$2:$H$1084,4,FALSE)</f>
        <v>0.00</v>
      </c>
      <c r="D93" t="str">
        <f>VLOOKUP(A93,Datos!$A$2:$H$1084,5,FALSE)</f>
        <v>0.40</v>
      </c>
      <c r="E93" t="str">
        <f>VLOOKUP(A93,Datos!$A$2:$H$1084,6,FALSE)</f>
        <v>10.55</v>
      </c>
      <c r="F93" t="str">
        <f>VLOOKUP(A93,Datos!$A$2:$H$1084,7,FALSE)</f>
        <v>0.00</v>
      </c>
      <c r="G93" t="str">
        <f>VLOOKUP(A93,Datos!$A$2:$H$1084,8,FALSE)</f>
        <v>0.03</v>
      </c>
    </row>
    <row r="94" spans="1:7" x14ac:dyDescent="0.3">
      <c r="A94" s="1">
        <v>160606</v>
      </c>
      <c r="B94" t="str">
        <f>VLOOKUP(A94,Datos!$A$2:$H$1084,3,FALSE)</f>
        <v>31.20</v>
      </c>
      <c r="C94" t="str">
        <f>VLOOKUP(A94,Datos!$A$2:$H$1084,4,FALSE)</f>
        <v>0.00</v>
      </c>
      <c r="D94" t="str">
        <f>VLOOKUP(A94,Datos!$A$2:$H$1084,5,FALSE)</f>
        <v>0.16</v>
      </c>
      <c r="E94" t="str">
        <f>VLOOKUP(A94,Datos!$A$2:$H$1084,6,FALSE)</f>
        <v>27.98</v>
      </c>
      <c r="F94" t="str">
        <f>VLOOKUP(A94,Datos!$A$2:$H$1084,7,FALSE)</f>
        <v>0.00</v>
      </c>
      <c r="G94" t="str">
        <f>VLOOKUP(A94,Datos!$A$2:$H$1084,8,FALSE)</f>
        <v>0.02</v>
      </c>
    </row>
    <row r="95" spans="1:7" x14ac:dyDescent="0.3">
      <c r="A95" s="1">
        <v>58029</v>
      </c>
      <c r="B95" t="str">
        <f>VLOOKUP(A95,Datos!$A$2:$H$1084,3,FALSE)</f>
        <v>47.28</v>
      </c>
      <c r="C95" t="str">
        <f>VLOOKUP(A95,Datos!$A$2:$H$1084,4,FALSE)</f>
        <v>0.00</v>
      </c>
      <c r="D95" t="str">
        <f>VLOOKUP(A95,Datos!$A$2:$H$1084,5,FALSE)</f>
        <v>0.36</v>
      </c>
      <c r="E95" t="str">
        <f>VLOOKUP(A95,Datos!$A$2:$H$1084,6,FALSE)</f>
        <v>6.31</v>
      </c>
      <c r="F95" t="str">
        <f>VLOOKUP(A95,Datos!$A$2:$H$1084,7,FALSE)</f>
        <v>0.00</v>
      </c>
      <c r="G95" t="str">
        <f>VLOOKUP(A95,Datos!$A$2:$H$1084,8,FALSE)</f>
        <v>0.03</v>
      </c>
    </row>
    <row r="96" spans="1:7" x14ac:dyDescent="0.3">
      <c r="A96" s="1">
        <v>463825</v>
      </c>
      <c r="B96" t="str">
        <f>VLOOKUP(A96,Datos!$A$2:$H$1084,3,FALSE)</f>
        <v>100.81</v>
      </c>
      <c r="C96" t="str">
        <f>VLOOKUP(A96,Datos!$A$2:$H$1084,4,FALSE)</f>
        <v>0.00</v>
      </c>
      <c r="D96" t="str">
        <f>VLOOKUP(A96,Datos!$A$2:$H$1084,5,FALSE)</f>
        <v>1.29</v>
      </c>
      <c r="E96" t="str">
        <f>VLOOKUP(A96,Datos!$A$2:$H$1084,6,FALSE)</f>
        <v>10.87</v>
      </c>
      <c r="F96" t="str">
        <f>VLOOKUP(A96,Datos!$A$2:$H$1084,7,FALSE)</f>
        <v>0.00</v>
      </c>
      <c r="G96" t="str">
        <f>VLOOKUP(A96,Datos!$A$2:$H$1084,8,FALSE)</f>
        <v>0.13</v>
      </c>
    </row>
    <row r="97" spans="1:7" x14ac:dyDescent="0.3">
      <c r="A97" s="1">
        <v>51805</v>
      </c>
      <c r="B97" t="str">
        <f>VLOOKUP(A97,Datos!$A$2:$H$1084,3,FALSE)</f>
        <v>45.63</v>
      </c>
      <c r="C97" t="str">
        <f>VLOOKUP(A97,Datos!$A$2:$H$1084,4,FALSE)</f>
        <v>0.00</v>
      </c>
      <c r="D97" t="str">
        <f>VLOOKUP(A97,Datos!$A$2:$H$1084,5,FALSE)</f>
        <v>0.91</v>
      </c>
      <c r="E97" t="str">
        <f>VLOOKUP(A97,Datos!$A$2:$H$1084,6,FALSE)</f>
        <v>36.80</v>
      </c>
      <c r="F97" t="str">
        <f>VLOOKUP(A97,Datos!$A$2:$H$1084,7,FALSE)</f>
        <v>0.00</v>
      </c>
      <c r="G97" t="str">
        <f>VLOOKUP(A97,Datos!$A$2:$H$1084,8,FALSE)</f>
        <v>0.11</v>
      </c>
    </row>
    <row r="98" spans="1:7" x14ac:dyDescent="0.3">
      <c r="A98" s="1">
        <v>93264</v>
      </c>
      <c r="B98" t="str">
        <f>VLOOKUP(A98,Datos!$A$2:$H$1084,3,FALSE)</f>
        <v>46.95</v>
      </c>
      <c r="C98" t="str">
        <f>VLOOKUP(A98,Datos!$A$2:$H$1084,4,FALSE)</f>
        <v>0.00</v>
      </c>
      <c r="D98" t="str">
        <f>VLOOKUP(A98,Datos!$A$2:$H$1084,5,FALSE)</f>
        <v>0.24</v>
      </c>
      <c r="E98" t="str">
        <f>VLOOKUP(A98,Datos!$A$2:$H$1084,6,FALSE)</f>
        <v>3.07</v>
      </c>
      <c r="F98" t="str">
        <f>VLOOKUP(A98,Datos!$A$2:$H$1084,7,FALSE)</f>
        <v>0.00</v>
      </c>
      <c r="G98" t="str">
        <f>VLOOKUP(A98,Datos!$A$2:$H$1084,8,FALSE)</f>
        <v>0.02</v>
      </c>
    </row>
    <row r="99" spans="1:7" x14ac:dyDescent="0.3">
      <c r="A99" s="1">
        <v>61282</v>
      </c>
      <c r="B99" t="str">
        <f>VLOOKUP(A99,Datos!$A$2:$H$1084,3,FALSE)</f>
        <v>44.88</v>
      </c>
      <c r="C99" t="str">
        <f>VLOOKUP(A99,Datos!$A$2:$H$1084,4,FALSE)</f>
        <v>0.00</v>
      </c>
      <c r="D99" t="str">
        <f>VLOOKUP(A99,Datos!$A$2:$H$1084,5,FALSE)</f>
        <v>0.39</v>
      </c>
      <c r="E99" t="str">
        <f>VLOOKUP(A99,Datos!$A$2:$H$1084,6,FALSE)</f>
        <v>4.15</v>
      </c>
      <c r="F99" t="str">
        <f>VLOOKUP(A99,Datos!$A$2:$H$1084,7,FALSE)</f>
        <v>0.00</v>
      </c>
      <c r="G99" t="str">
        <f>VLOOKUP(A99,Datos!$A$2:$H$1084,8,FALSE)</f>
        <v>0.03</v>
      </c>
    </row>
    <row r="100" spans="1:7" x14ac:dyDescent="0.3">
      <c r="A100" s="1">
        <v>84537</v>
      </c>
      <c r="B100" t="str">
        <f>VLOOKUP(A100,Datos!$A$2:$H$1084,3,FALSE)</f>
        <v>49.65</v>
      </c>
      <c r="C100" t="str">
        <f>VLOOKUP(A100,Datos!$A$2:$H$1084,4,FALSE)</f>
        <v>0.00</v>
      </c>
      <c r="D100" t="str">
        <f>VLOOKUP(A100,Datos!$A$2:$H$1084,5,FALSE)</f>
        <v>0.06</v>
      </c>
      <c r="E100" t="str">
        <f>VLOOKUP(A100,Datos!$A$2:$H$1084,6,FALSE)</f>
        <v>6.72</v>
      </c>
      <c r="F100" t="str">
        <f>VLOOKUP(A100,Datos!$A$2:$H$1084,7,FALSE)</f>
        <v>0.00</v>
      </c>
      <c r="G100" t="str">
        <f>VLOOKUP(A100,Datos!$A$2:$H$1084,8,FALSE)</f>
        <v>0.01</v>
      </c>
    </row>
    <row r="101" spans="1:7" x14ac:dyDescent="0.3">
      <c r="A101" s="1">
        <v>67364</v>
      </c>
      <c r="B101" t="str">
        <f>VLOOKUP(A101,Datos!$A$2:$H$1084,3,FALSE)</f>
        <v>15.39</v>
      </c>
      <c r="C101" t="str">
        <f>VLOOKUP(A101,Datos!$A$2:$H$1084,4,FALSE)</f>
        <v>0.00</v>
      </c>
      <c r="D101" t="str">
        <f>VLOOKUP(A101,Datos!$A$2:$H$1084,5,FALSE)</f>
        <v>0.02</v>
      </c>
      <c r="E101" t="str">
        <f>VLOOKUP(A101,Datos!$A$2:$H$1084,6,FALSE)</f>
        <v>1.89</v>
      </c>
      <c r="F101" t="str">
        <f>VLOOKUP(A101,Datos!$A$2:$H$1084,7,FALSE)</f>
        <v>0.00</v>
      </c>
      <c r="G101" t="str">
        <f>VLOOKUP(A101,Datos!$A$2:$H$1084,8,FALSE)</f>
        <v>0.01</v>
      </c>
    </row>
    <row r="102" spans="1:7" x14ac:dyDescent="0.3">
      <c r="A102" s="1">
        <v>150481</v>
      </c>
      <c r="B102" t="str">
        <f>VLOOKUP(A102,Datos!$A$2:$H$1084,3,FALSE)</f>
        <v>43.24</v>
      </c>
      <c r="C102" t="str">
        <f>VLOOKUP(A102,Datos!$A$2:$H$1084,4,FALSE)</f>
        <v>0.00</v>
      </c>
      <c r="D102" t="str">
        <f>VLOOKUP(A102,Datos!$A$2:$H$1084,5,FALSE)</f>
        <v>0.17</v>
      </c>
      <c r="E102" t="str">
        <f>VLOOKUP(A102,Datos!$A$2:$H$1084,6,FALSE)</f>
        <v>14.01</v>
      </c>
      <c r="F102" t="str">
        <f>VLOOKUP(A102,Datos!$A$2:$H$1084,7,FALSE)</f>
        <v>0.00</v>
      </c>
      <c r="G102" t="str">
        <f>VLOOKUP(A102,Datos!$A$2:$H$1084,8,FALSE)</f>
        <v>0.02</v>
      </c>
    </row>
    <row r="103" spans="1:7" x14ac:dyDescent="0.3">
      <c r="A103" s="1">
        <v>446242</v>
      </c>
      <c r="B103" t="str">
        <f>VLOOKUP(A103,Datos!$A$2:$H$1084,3,FALSE)</f>
        <v>38.96</v>
      </c>
      <c r="C103" t="str">
        <f>VLOOKUP(A103,Datos!$A$2:$H$1084,4,FALSE)</f>
        <v>0.00</v>
      </c>
      <c r="D103" t="str">
        <f>VLOOKUP(A103,Datos!$A$2:$H$1084,5,FALSE)</f>
        <v>0.56</v>
      </c>
      <c r="E103" t="str">
        <f>VLOOKUP(A103,Datos!$A$2:$H$1084,6,FALSE)</f>
        <v>22.59</v>
      </c>
      <c r="F103" t="str">
        <f>VLOOKUP(A103,Datos!$A$2:$H$1084,7,FALSE)</f>
        <v>0.00</v>
      </c>
      <c r="G103" t="str">
        <f>VLOOKUP(A103,Datos!$A$2:$H$1084,8,FALSE)</f>
        <v>0.13</v>
      </c>
    </row>
    <row r="104" spans="1:7" x14ac:dyDescent="0.3">
      <c r="A104" s="1">
        <v>146205</v>
      </c>
      <c r="B104" t="str">
        <f>VLOOKUP(A104,Datos!$A$2:$H$1084,3,FALSE)</f>
        <v>55.60</v>
      </c>
      <c r="C104" t="str">
        <f>VLOOKUP(A104,Datos!$A$2:$H$1084,4,FALSE)</f>
        <v>0.00</v>
      </c>
      <c r="D104" t="str">
        <f>VLOOKUP(A104,Datos!$A$2:$H$1084,5,FALSE)</f>
        <v>0.57</v>
      </c>
      <c r="E104" t="str">
        <f>VLOOKUP(A104,Datos!$A$2:$H$1084,6,FALSE)</f>
        <v>8.29</v>
      </c>
      <c r="F104" t="str">
        <f>VLOOKUP(A104,Datos!$A$2:$H$1084,7,FALSE)</f>
        <v>0.00</v>
      </c>
      <c r="G104" t="str">
        <f>VLOOKUP(A104,Datos!$A$2:$H$1084,8,FALSE)</f>
        <v>0.07</v>
      </c>
    </row>
    <row r="105" spans="1:7" x14ac:dyDescent="0.3">
      <c r="A105" s="1">
        <v>452723</v>
      </c>
      <c r="B105" t="str">
        <f>VLOOKUP(A105,Datos!$A$2:$H$1084,3,FALSE)</f>
        <v>31.01</v>
      </c>
      <c r="C105" t="str">
        <f>VLOOKUP(A105,Datos!$A$2:$H$1084,4,FALSE)</f>
        <v>0.00</v>
      </c>
      <c r="D105" t="str">
        <f>VLOOKUP(A105,Datos!$A$2:$H$1084,5,FALSE)</f>
        <v>0.03</v>
      </c>
      <c r="E105" t="str">
        <f>VLOOKUP(A105,Datos!$A$2:$H$1084,6,FALSE)</f>
        <v>1.37</v>
      </c>
      <c r="F105" t="str">
        <f>VLOOKUP(A105,Datos!$A$2:$H$1084,7,FALSE)</f>
        <v>0.00</v>
      </c>
      <c r="G105" t="str">
        <f>VLOOKUP(A105,Datos!$A$2:$H$1084,8,FALSE)</f>
        <v>0.01</v>
      </c>
    </row>
    <row r="106" spans="1:7" x14ac:dyDescent="0.3">
      <c r="A106" s="1">
        <v>171327</v>
      </c>
      <c r="B106" t="str">
        <f>VLOOKUP(A106,Datos!$A$2:$H$1084,3,FALSE)</f>
        <v>166.06</v>
      </c>
      <c r="C106" t="str">
        <f>VLOOKUP(A106,Datos!$A$2:$H$1084,4,FALSE)</f>
        <v>0.00</v>
      </c>
      <c r="D106" t="str">
        <f>VLOOKUP(A106,Datos!$A$2:$H$1084,5,FALSE)</f>
        <v>3.19</v>
      </c>
      <c r="E106" t="str">
        <f>VLOOKUP(A106,Datos!$A$2:$H$1084,6,FALSE)</f>
        <v>21.20</v>
      </c>
      <c r="F106" t="str">
        <f>VLOOKUP(A106,Datos!$A$2:$H$1084,7,FALSE)</f>
        <v>0.00</v>
      </c>
      <c r="G106" t="str">
        <f>VLOOKUP(A106,Datos!$A$2:$H$1084,8,FALSE)</f>
        <v>0.19</v>
      </c>
    </row>
    <row r="107" spans="1:7" x14ac:dyDescent="0.3">
      <c r="A107" s="1">
        <v>57968</v>
      </c>
      <c r="B107" t="str">
        <f>VLOOKUP(A107,Datos!$A$2:$H$1084,3,FALSE)</f>
        <v>11.82</v>
      </c>
      <c r="C107" t="str">
        <f>VLOOKUP(A107,Datos!$A$2:$H$1084,4,FALSE)</f>
        <v>0.00</v>
      </c>
      <c r="D107" t="str">
        <f>VLOOKUP(A107,Datos!$A$2:$H$1084,5,FALSE)</f>
        <v>0.01</v>
      </c>
      <c r="E107" t="str">
        <f>VLOOKUP(A107,Datos!$A$2:$H$1084,6,FALSE)</f>
        <v>0.40</v>
      </c>
      <c r="F107" t="str">
        <f>VLOOKUP(A107,Datos!$A$2:$H$1084,7,FALSE)</f>
        <v>0.00</v>
      </c>
      <c r="G107" t="str">
        <f>VLOOKUP(A107,Datos!$A$2:$H$1084,8,FALSE)</f>
        <v>0.00</v>
      </c>
    </row>
    <row r="108" spans="1:7" x14ac:dyDescent="0.3">
      <c r="A108" s="1">
        <v>152017</v>
      </c>
      <c r="B108" t="str">
        <f>VLOOKUP(A108,Datos!$A$2:$H$1084,3,FALSE)</f>
        <v>143.01</v>
      </c>
      <c r="C108" t="str">
        <f>VLOOKUP(A108,Datos!$A$2:$H$1084,4,FALSE)</f>
        <v>0.01</v>
      </c>
      <c r="D108" t="str">
        <f>VLOOKUP(A108,Datos!$A$2:$H$1084,5,FALSE)</f>
        <v>1.04</v>
      </c>
      <c r="E108" t="str">
        <f>VLOOKUP(A108,Datos!$A$2:$H$1084,6,FALSE)</f>
        <v>10.99</v>
      </c>
      <c r="F108" t="str">
        <f>VLOOKUP(A108,Datos!$A$2:$H$1084,7,FALSE)</f>
        <v>0.01</v>
      </c>
      <c r="G108" t="str">
        <f>VLOOKUP(A108,Datos!$A$2:$H$1084,8,FALSE)</f>
        <v>0.10</v>
      </c>
    </row>
    <row r="109" spans="1:7" x14ac:dyDescent="0.3">
      <c r="A109" s="1">
        <v>447213</v>
      </c>
      <c r="B109" t="str">
        <f>VLOOKUP(A109,Datos!$A$2:$H$1084,3,FALSE)</f>
        <v>63.44</v>
      </c>
      <c r="C109" t="str">
        <f>VLOOKUP(A109,Datos!$A$2:$H$1084,4,FALSE)</f>
        <v>0.00</v>
      </c>
      <c r="D109" t="str">
        <f>VLOOKUP(A109,Datos!$A$2:$H$1084,5,FALSE)</f>
        <v>0.32</v>
      </c>
      <c r="E109" t="str">
        <f>VLOOKUP(A109,Datos!$A$2:$H$1084,6,FALSE)</f>
        <v>5.89</v>
      </c>
      <c r="F109" t="str">
        <f>VLOOKUP(A109,Datos!$A$2:$H$1084,7,FALSE)</f>
        <v>0.00</v>
      </c>
      <c r="G109" t="str">
        <f>VLOOKUP(A109,Datos!$A$2:$H$1084,8,FALSE)</f>
        <v>0.04</v>
      </c>
    </row>
    <row r="110" spans="1:7" x14ac:dyDescent="0.3">
      <c r="A110" s="1">
        <v>87550</v>
      </c>
      <c r="B110" t="str">
        <f>VLOOKUP(A110,Datos!$A$2:$H$1084,3,FALSE)</f>
        <v>79.59</v>
      </c>
      <c r="C110" t="str">
        <f>VLOOKUP(A110,Datos!$A$2:$H$1084,4,FALSE)</f>
        <v>0.01</v>
      </c>
      <c r="D110" t="str">
        <f>VLOOKUP(A110,Datos!$A$2:$H$1084,5,FALSE)</f>
        <v>0.19</v>
      </c>
      <c r="E110" t="str">
        <f>VLOOKUP(A110,Datos!$A$2:$H$1084,6,FALSE)</f>
        <v>22.83</v>
      </c>
      <c r="F110" t="str">
        <f>VLOOKUP(A110,Datos!$A$2:$H$1084,7,FALSE)</f>
        <v>0.01</v>
      </c>
      <c r="G110" t="str">
        <f>VLOOKUP(A110,Datos!$A$2:$H$1084,8,FALSE)</f>
        <v>0.05</v>
      </c>
    </row>
    <row r="111" spans="1:7" x14ac:dyDescent="0.3">
      <c r="A111" s="1">
        <v>546270</v>
      </c>
      <c r="B111" t="str">
        <f>VLOOKUP(A111,Datos!$A$2:$H$1084,3,FALSE)</f>
        <v>83.09</v>
      </c>
      <c r="C111" t="str">
        <f>VLOOKUP(A111,Datos!$A$2:$H$1084,4,FALSE)</f>
        <v>0.00</v>
      </c>
      <c r="D111" t="str">
        <f>VLOOKUP(A111,Datos!$A$2:$H$1084,5,FALSE)</f>
        <v>0.28</v>
      </c>
      <c r="E111" t="str">
        <f>VLOOKUP(A111,Datos!$A$2:$H$1084,6,FALSE)</f>
        <v>4.51</v>
      </c>
      <c r="F111" t="str">
        <f>VLOOKUP(A111,Datos!$A$2:$H$1084,7,FALSE)</f>
        <v>0.00</v>
      </c>
      <c r="G111" t="str">
        <f>VLOOKUP(A111,Datos!$A$2:$H$1084,8,FALSE)</f>
        <v>0.03</v>
      </c>
    </row>
    <row r="112" spans="1:7" x14ac:dyDescent="0.3">
      <c r="A112" s="1">
        <v>155742</v>
      </c>
      <c r="B112" t="str">
        <f>VLOOKUP(A112,Datos!$A$2:$H$1084,3,FALSE)</f>
        <v>45.74</v>
      </c>
      <c r="C112" t="str">
        <f>VLOOKUP(A112,Datos!$A$2:$H$1084,4,FALSE)</f>
        <v>0.00</v>
      </c>
      <c r="D112" t="str">
        <f>VLOOKUP(A112,Datos!$A$2:$H$1084,5,FALSE)</f>
        <v>0.19</v>
      </c>
      <c r="E112" t="str">
        <f>VLOOKUP(A112,Datos!$A$2:$H$1084,6,FALSE)</f>
        <v>32.18</v>
      </c>
      <c r="F112" t="str">
        <f>VLOOKUP(A112,Datos!$A$2:$H$1084,7,FALSE)</f>
        <v>0.00</v>
      </c>
      <c r="G112" t="str">
        <f>VLOOKUP(A112,Datos!$A$2:$H$1084,8,FALSE)</f>
        <v>0.03</v>
      </c>
    </row>
    <row r="113" spans="1:7" x14ac:dyDescent="0.3">
      <c r="A113" s="1">
        <v>65360</v>
      </c>
      <c r="B113" t="str">
        <f>VLOOKUP(A113,Datos!$A$2:$H$1084,3,FALSE)</f>
        <v>35.60</v>
      </c>
      <c r="C113" t="str">
        <f>VLOOKUP(A113,Datos!$A$2:$H$1084,4,FALSE)</f>
        <v>0.00</v>
      </c>
      <c r="D113" t="str">
        <f>VLOOKUP(A113,Datos!$A$2:$H$1084,5,FALSE)</f>
        <v>0.01</v>
      </c>
      <c r="E113" t="str">
        <f>VLOOKUP(A113,Datos!$A$2:$H$1084,6,FALSE)</f>
        <v>1.56</v>
      </c>
      <c r="F113" t="str">
        <f>VLOOKUP(A113,Datos!$A$2:$H$1084,7,FALSE)</f>
        <v>0.00</v>
      </c>
      <c r="G113" t="str">
        <f>VLOOKUP(A113,Datos!$A$2:$H$1084,8,FALSE)</f>
        <v>0.00</v>
      </c>
    </row>
    <row r="114" spans="1:7" x14ac:dyDescent="0.3">
      <c r="A114" s="1">
        <v>156614</v>
      </c>
      <c r="B114" t="str">
        <f>VLOOKUP(A114,Datos!$A$2:$H$1084,3,FALSE)</f>
        <v>53.26</v>
      </c>
      <c r="C114" t="str">
        <f>VLOOKUP(A114,Datos!$A$2:$H$1084,4,FALSE)</f>
        <v>0.00</v>
      </c>
      <c r="D114" t="str">
        <f>VLOOKUP(A114,Datos!$A$2:$H$1084,5,FALSE)</f>
        <v>1.51</v>
      </c>
      <c r="E114" t="str">
        <f>VLOOKUP(A114,Datos!$A$2:$H$1084,6,FALSE)</f>
        <v>27.27</v>
      </c>
      <c r="F114" t="str">
        <f>VLOOKUP(A114,Datos!$A$2:$H$1084,7,FALSE)</f>
        <v>0.00</v>
      </c>
      <c r="G114" t="str">
        <f>VLOOKUP(A114,Datos!$A$2:$H$1084,8,FALSE)</f>
        <v>0.23</v>
      </c>
    </row>
    <row r="115" spans="1:7" x14ac:dyDescent="0.3">
      <c r="A115" s="1">
        <v>155365</v>
      </c>
      <c r="B115" t="str">
        <f>VLOOKUP(A115,Datos!$A$2:$H$1084,3,FALSE)</f>
        <v>88.98</v>
      </c>
      <c r="C115" t="str">
        <f>VLOOKUP(A115,Datos!$A$2:$H$1084,4,FALSE)</f>
        <v>0.00</v>
      </c>
      <c r="D115" t="str">
        <f>VLOOKUP(A115,Datos!$A$2:$H$1084,5,FALSE)</f>
        <v>1.67</v>
      </c>
      <c r="E115" t="str">
        <f>VLOOKUP(A115,Datos!$A$2:$H$1084,6,FALSE)</f>
        <v>10.35</v>
      </c>
      <c r="F115" t="str">
        <f>VLOOKUP(A115,Datos!$A$2:$H$1084,7,FALSE)</f>
        <v>0.00</v>
      </c>
      <c r="G115" t="str">
        <f>VLOOKUP(A115,Datos!$A$2:$H$1084,8,FALSE)</f>
        <v>0.02</v>
      </c>
    </row>
    <row r="116" spans="1:7" x14ac:dyDescent="0.3">
      <c r="A116" s="1">
        <v>453082</v>
      </c>
      <c r="B116" t="str">
        <f>VLOOKUP(A116,Datos!$A$2:$H$1084,3,FALSE)</f>
        <v>32.26</v>
      </c>
      <c r="C116" t="str">
        <f>VLOOKUP(A116,Datos!$A$2:$H$1084,4,FALSE)</f>
        <v>0.00</v>
      </c>
      <c r="D116" t="str">
        <f>VLOOKUP(A116,Datos!$A$2:$H$1084,5,FALSE)</f>
        <v>0.02</v>
      </c>
      <c r="E116" t="str">
        <f>VLOOKUP(A116,Datos!$A$2:$H$1084,6,FALSE)</f>
        <v>1.99</v>
      </c>
      <c r="F116" t="str">
        <f>VLOOKUP(A116,Datos!$A$2:$H$1084,7,FALSE)</f>
        <v>0.00</v>
      </c>
      <c r="G116" t="str">
        <f>VLOOKUP(A116,Datos!$A$2:$H$1084,8,FALSE)</f>
        <v>0.01</v>
      </c>
    </row>
    <row r="117" spans="1:7" x14ac:dyDescent="0.3">
      <c r="A117" s="1">
        <v>64172</v>
      </c>
      <c r="B117" t="str">
        <f>VLOOKUP(A117,Datos!$A$2:$H$1084,3,FALSE)</f>
        <v>9.20</v>
      </c>
      <c r="C117" t="str">
        <f>VLOOKUP(A117,Datos!$A$2:$H$1084,4,FALSE)</f>
        <v>0.00</v>
      </c>
      <c r="D117" t="str">
        <f>VLOOKUP(A117,Datos!$A$2:$H$1084,5,FALSE)</f>
        <v>0.06</v>
      </c>
      <c r="E117" t="str">
        <f>VLOOKUP(A117,Datos!$A$2:$H$1084,6,FALSE)</f>
        <v>8.37</v>
      </c>
      <c r="F117" t="str">
        <f>VLOOKUP(A117,Datos!$A$2:$H$1084,7,FALSE)</f>
        <v>0.00</v>
      </c>
      <c r="G117" t="str">
        <f>VLOOKUP(A117,Datos!$A$2:$H$1084,8,FALSE)</f>
        <v>0.02</v>
      </c>
    </row>
    <row r="118" spans="1:7" x14ac:dyDescent="0.3">
      <c r="A118" s="1">
        <v>467705</v>
      </c>
      <c r="B118" t="str">
        <f>VLOOKUP(A118,Datos!$A$2:$H$1084,3,FALSE)</f>
        <v>92.43</v>
      </c>
      <c r="C118" t="str">
        <f>VLOOKUP(A118,Datos!$A$2:$H$1084,4,FALSE)</f>
        <v>0.00</v>
      </c>
      <c r="D118" t="str">
        <f>VLOOKUP(A118,Datos!$A$2:$H$1084,5,FALSE)</f>
        <v>0.38</v>
      </c>
      <c r="E118" t="str">
        <f>VLOOKUP(A118,Datos!$A$2:$H$1084,6,FALSE)</f>
        <v>7.55</v>
      </c>
      <c r="F118" t="str">
        <f>VLOOKUP(A118,Datos!$A$2:$H$1084,7,FALSE)</f>
        <v>0.00</v>
      </c>
      <c r="G118" t="str">
        <f>VLOOKUP(A118,Datos!$A$2:$H$1084,8,FALSE)</f>
        <v>0.05</v>
      </c>
    </row>
    <row r="119" spans="1:7" x14ac:dyDescent="0.3">
      <c r="A119" s="1">
        <v>146130</v>
      </c>
      <c r="B119" t="str">
        <f>VLOOKUP(A119,Datos!$A$2:$H$1084,3,FALSE)</f>
        <v>91.09</v>
      </c>
      <c r="C119" t="str">
        <f>VLOOKUP(A119,Datos!$A$2:$H$1084,4,FALSE)</f>
        <v>0.00</v>
      </c>
      <c r="D119" t="str">
        <f>VLOOKUP(A119,Datos!$A$2:$H$1084,5,FALSE)</f>
        <v>0.38</v>
      </c>
      <c r="E119" t="str">
        <f>VLOOKUP(A119,Datos!$A$2:$H$1084,6,FALSE)</f>
        <v>15.81</v>
      </c>
      <c r="F119" t="str">
        <f>VLOOKUP(A119,Datos!$A$2:$H$1084,7,FALSE)</f>
        <v>0.00</v>
      </c>
      <c r="G119" t="str">
        <f>VLOOKUP(A119,Datos!$A$2:$H$1084,8,FALSE)</f>
        <v>0.07</v>
      </c>
    </row>
    <row r="120" spans="1:7" x14ac:dyDescent="0.3">
      <c r="A120" s="1">
        <v>170771</v>
      </c>
      <c r="B120" t="str">
        <f>VLOOKUP(A120,Datos!$A$2:$H$1084,3,FALSE)</f>
        <v>45.35</v>
      </c>
      <c r="C120" t="str">
        <f>VLOOKUP(A120,Datos!$A$2:$H$1084,4,FALSE)</f>
        <v>0.01</v>
      </c>
      <c r="D120" t="str">
        <f>VLOOKUP(A120,Datos!$A$2:$H$1084,5,FALSE)</f>
        <v>0.89</v>
      </c>
      <c r="E120" t="str">
        <f>VLOOKUP(A120,Datos!$A$2:$H$1084,6,FALSE)</f>
        <v>15.32</v>
      </c>
      <c r="F120" t="str">
        <f>VLOOKUP(A120,Datos!$A$2:$H$1084,7,FALSE)</f>
        <v>0.01</v>
      </c>
      <c r="G120" t="str">
        <f>VLOOKUP(A120,Datos!$A$2:$H$1084,8,FALSE)</f>
        <v>0.10</v>
      </c>
    </row>
    <row r="121" spans="1:7" x14ac:dyDescent="0.3">
      <c r="A121" s="1">
        <v>487850</v>
      </c>
      <c r="B121" t="str">
        <f>VLOOKUP(A121,Datos!$A$2:$H$1084,3,FALSE)</f>
        <v>39.74</v>
      </c>
      <c r="C121" t="str">
        <f>VLOOKUP(A121,Datos!$A$2:$H$1084,4,FALSE)</f>
        <v>0.00</v>
      </c>
      <c r="D121" t="str">
        <f>VLOOKUP(A121,Datos!$A$2:$H$1084,5,FALSE)</f>
        <v>0.06</v>
      </c>
      <c r="E121" t="str">
        <f>VLOOKUP(A121,Datos!$A$2:$H$1084,6,FALSE)</f>
        <v>8.17</v>
      </c>
      <c r="F121" t="str">
        <f>VLOOKUP(A121,Datos!$A$2:$H$1084,7,FALSE)</f>
        <v>0.00</v>
      </c>
      <c r="G121" t="str">
        <f>VLOOKUP(A121,Datos!$A$2:$H$1084,8,FALSE)</f>
        <v>0.01</v>
      </c>
    </row>
    <row r="122" spans="1:7" x14ac:dyDescent="0.3">
      <c r="A122" s="1">
        <v>151678</v>
      </c>
      <c r="B122" t="str">
        <f>VLOOKUP(A122,Datos!$A$2:$H$1084,3,FALSE)</f>
        <v>74.69</v>
      </c>
      <c r="C122" t="str">
        <f>VLOOKUP(A122,Datos!$A$2:$H$1084,4,FALSE)</f>
        <v>0.00</v>
      </c>
      <c r="D122" t="str">
        <f>VLOOKUP(A122,Datos!$A$2:$H$1084,5,FALSE)</f>
        <v>0.92</v>
      </c>
      <c r="E122" t="str">
        <f>VLOOKUP(A122,Datos!$A$2:$H$1084,6,FALSE)</f>
        <v>128.29</v>
      </c>
      <c r="F122" t="str">
        <f>VLOOKUP(A122,Datos!$A$2:$H$1084,7,FALSE)</f>
        <v>0.00</v>
      </c>
      <c r="G122" t="str">
        <f>VLOOKUP(A122,Datos!$A$2:$H$1084,8,FALSE)</f>
        <v>0.08</v>
      </c>
    </row>
    <row r="123" spans="1:7" x14ac:dyDescent="0.3">
      <c r="A123" s="1">
        <v>758648</v>
      </c>
      <c r="B123" t="str">
        <f>VLOOKUP(A123,Datos!$A$2:$H$1084,3,FALSE)</f>
        <v>3.31</v>
      </c>
      <c r="C123" t="str">
        <f>VLOOKUP(A123,Datos!$A$2:$H$1084,4,FALSE)</f>
        <v>0.00</v>
      </c>
      <c r="D123" t="str">
        <f>VLOOKUP(A123,Datos!$A$2:$H$1084,5,FALSE)</f>
        <v>0.01</v>
      </c>
      <c r="E123" t="str">
        <f>VLOOKUP(A123,Datos!$A$2:$H$1084,6,FALSE)</f>
        <v>0.55</v>
      </c>
      <c r="F123" t="str">
        <f>VLOOKUP(A123,Datos!$A$2:$H$1084,7,FALSE)</f>
        <v>0.00</v>
      </c>
      <c r="G123" t="str">
        <f>VLOOKUP(A123,Datos!$A$2:$H$1084,8,FALSE)</f>
        <v>0.01</v>
      </c>
    </row>
    <row r="124" spans="1:7" x14ac:dyDescent="0.3">
      <c r="A124" s="1">
        <v>67260</v>
      </c>
      <c r="B124" t="str">
        <f>VLOOKUP(A124,Datos!$A$2:$H$1084,3,FALSE)</f>
        <v>57.49</v>
      </c>
      <c r="C124" t="str">
        <f>VLOOKUP(A124,Datos!$A$2:$H$1084,4,FALSE)</f>
        <v>0.00</v>
      </c>
      <c r="D124" t="str">
        <f>VLOOKUP(A124,Datos!$A$2:$H$1084,5,FALSE)</f>
        <v>0.28</v>
      </c>
      <c r="E124" t="str">
        <f>VLOOKUP(A124,Datos!$A$2:$H$1084,6,FALSE)</f>
        <v>8.09</v>
      </c>
      <c r="F124" t="str">
        <f>VLOOKUP(A124,Datos!$A$2:$H$1084,7,FALSE)</f>
        <v>0.00</v>
      </c>
      <c r="G124" t="str">
        <f>VLOOKUP(A124,Datos!$A$2:$H$1084,8,FALSE)</f>
        <v>0.03</v>
      </c>
    </row>
    <row r="125" spans="1:7" x14ac:dyDescent="0.3">
      <c r="A125" s="1">
        <v>47738</v>
      </c>
      <c r="B125" t="str">
        <f>VLOOKUP(A125,Datos!$A$2:$H$1084,3,FALSE)</f>
        <v>89.81</v>
      </c>
      <c r="C125" t="str">
        <f>VLOOKUP(A125,Datos!$A$2:$H$1084,4,FALSE)</f>
        <v>0.00</v>
      </c>
      <c r="D125" t="str">
        <f>VLOOKUP(A125,Datos!$A$2:$H$1084,5,FALSE)</f>
        <v>2.07</v>
      </c>
      <c r="E125" t="str">
        <f>VLOOKUP(A125,Datos!$A$2:$H$1084,6,FALSE)</f>
        <v>50.02</v>
      </c>
      <c r="F125" t="str">
        <f>VLOOKUP(A125,Datos!$A$2:$H$1084,7,FALSE)</f>
        <v>0.00</v>
      </c>
      <c r="G125" t="str">
        <f>VLOOKUP(A125,Datos!$A$2:$H$1084,8,FALSE)</f>
        <v>0.26</v>
      </c>
    </row>
    <row r="126" spans="1:7" x14ac:dyDescent="0.3">
      <c r="A126" s="1">
        <v>149058</v>
      </c>
      <c r="B126" t="str">
        <f>VLOOKUP(A126,Datos!$A$2:$H$1084,3,FALSE)</f>
        <v>25.35</v>
      </c>
      <c r="C126" t="str">
        <f>VLOOKUP(A126,Datos!$A$2:$H$1084,4,FALSE)</f>
        <v>0.00</v>
      </c>
      <c r="D126" t="str">
        <f>VLOOKUP(A126,Datos!$A$2:$H$1084,5,FALSE)</f>
        <v>0.03</v>
      </c>
      <c r="E126" t="str">
        <f>VLOOKUP(A126,Datos!$A$2:$H$1084,6,FALSE)</f>
        <v>6.00</v>
      </c>
      <c r="F126" t="str">
        <f>VLOOKUP(A126,Datos!$A$2:$H$1084,7,FALSE)</f>
        <v>0.00</v>
      </c>
      <c r="G126" t="str">
        <f>VLOOKUP(A126,Datos!$A$2:$H$1084,8,FALSE)</f>
        <v>0.01</v>
      </c>
    </row>
    <row r="127" spans="1:7" x14ac:dyDescent="0.3">
      <c r="A127" s="1">
        <v>160668</v>
      </c>
      <c r="B127" t="str">
        <f>VLOOKUP(A127,Datos!$A$2:$H$1084,3,FALSE)</f>
        <v>25.04</v>
      </c>
      <c r="C127" t="str">
        <f>VLOOKUP(A127,Datos!$A$2:$H$1084,4,FALSE)</f>
        <v>0.00</v>
      </c>
      <c r="D127" t="str">
        <f>VLOOKUP(A127,Datos!$A$2:$H$1084,5,FALSE)</f>
        <v>0.04</v>
      </c>
      <c r="E127" t="str">
        <f>VLOOKUP(A127,Datos!$A$2:$H$1084,6,FALSE)</f>
        <v>9.24</v>
      </c>
      <c r="F127" t="str">
        <f>VLOOKUP(A127,Datos!$A$2:$H$1084,7,FALSE)</f>
        <v>0.00</v>
      </c>
      <c r="G127" t="str">
        <f>VLOOKUP(A127,Datos!$A$2:$H$1084,8,FALSE)</f>
        <v>0.01</v>
      </c>
    </row>
    <row r="128" spans="1:7" x14ac:dyDescent="0.3">
      <c r="A128" s="1">
        <v>148836</v>
      </c>
      <c r="B128" t="str">
        <f>VLOOKUP(A128,Datos!$A$2:$H$1084,3,FALSE)</f>
        <v>30.78</v>
      </c>
      <c r="C128" t="str">
        <f>VLOOKUP(A128,Datos!$A$2:$H$1084,4,FALSE)</f>
        <v>0.01</v>
      </c>
      <c r="D128" t="str">
        <f>VLOOKUP(A128,Datos!$A$2:$H$1084,5,FALSE)</f>
        <v>0.11</v>
      </c>
      <c r="E128" t="str">
        <f>VLOOKUP(A128,Datos!$A$2:$H$1084,6,FALSE)</f>
        <v>9.01</v>
      </c>
      <c r="F128" t="str">
        <f>VLOOKUP(A128,Datos!$A$2:$H$1084,7,FALSE)</f>
        <v>0.01</v>
      </c>
      <c r="G128" t="str">
        <f>VLOOKUP(A128,Datos!$A$2:$H$1084,8,FALSE)</f>
        <v>0.02</v>
      </c>
    </row>
    <row r="129" spans="1:7" x14ac:dyDescent="0.3">
      <c r="A129" s="1">
        <v>465202</v>
      </c>
      <c r="B129" t="str">
        <f>VLOOKUP(A129,Datos!$A$2:$H$1084,3,FALSE)</f>
        <v>22.35</v>
      </c>
      <c r="C129" t="str">
        <f>VLOOKUP(A129,Datos!$A$2:$H$1084,4,FALSE)</f>
        <v>0.00</v>
      </c>
      <c r="D129" t="str">
        <f>VLOOKUP(A129,Datos!$A$2:$H$1084,5,FALSE)</f>
        <v>0.01</v>
      </c>
      <c r="E129" t="str">
        <f>VLOOKUP(A129,Datos!$A$2:$H$1084,6,FALSE)</f>
        <v>1.03</v>
      </c>
      <c r="F129" t="str">
        <f>VLOOKUP(A129,Datos!$A$2:$H$1084,7,FALSE)</f>
        <v>0.00</v>
      </c>
      <c r="G129" t="str">
        <f>VLOOKUP(A129,Datos!$A$2:$H$1084,8,FALSE)</f>
        <v>0.00</v>
      </c>
    </row>
    <row r="130" spans="1:7" x14ac:dyDescent="0.3">
      <c r="A130" s="1">
        <v>52225</v>
      </c>
      <c r="B130" t="str">
        <f>VLOOKUP(A130,Datos!$A$2:$H$1084,3,FALSE)</f>
        <v>14.00</v>
      </c>
      <c r="C130" t="str">
        <f>VLOOKUP(A130,Datos!$A$2:$H$1084,4,FALSE)</f>
        <v>0.01</v>
      </c>
      <c r="D130" t="str">
        <f>VLOOKUP(A130,Datos!$A$2:$H$1084,5,FALSE)</f>
        <v>0.03</v>
      </c>
      <c r="E130" t="str">
        <f>VLOOKUP(A130,Datos!$A$2:$H$1084,6,FALSE)</f>
        <v>0.82</v>
      </c>
      <c r="F130" t="str">
        <f>VLOOKUP(A130,Datos!$A$2:$H$1084,7,FALSE)</f>
        <v>0.01</v>
      </c>
      <c r="G130" t="str">
        <f>VLOOKUP(A130,Datos!$A$2:$H$1084,8,FALSE)</f>
        <v>0.01</v>
      </c>
    </row>
    <row r="131" spans="1:7" x14ac:dyDescent="0.3">
      <c r="A131" s="1">
        <v>76467</v>
      </c>
      <c r="B131" t="str">
        <f>VLOOKUP(A131,Datos!$A$2:$H$1084,3,FALSE)</f>
        <v>0.06</v>
      </c>
      <c r="C131" t="str">
        <f>VLOOKUP(A131,Datos!$A$2:$H$1084,4,FALSE)</f>
        <v>0.00</v>
      </c>
      <c r="D131" t="str">
        <f>VLOOKUP(A131,Datos!$A$2:$H$1084,5,FALSE)</f>
        <v>0.00</v>
      </c>
      <c r="E131" t="str">
        <f>VLOOKUP(A131,Datos!$A$2:$H$1084,6,FALSE)</f>
        <v>0.04</v>
      </c>
      <c r="F131" t="str">
        <f>VLOOKUP(A131,Datos!$A$2:$H$1084,7,FALSE)</f>
        <v>0.00</v>
      </c>
      <c r="G131" t="str">
        <f>VLOOKUP(A131,Datos!$A$2:$H$1084,8,FALSE)</f>
        <v>0.00</v>
      </c>
    </row>
    <row r="132" spans="1:7" x14ac:dyDescent="0.3">
      <c r="A132" s="1">
        <v>148558</v>
      </c>
      <c r="B132" t="str">
        <f>VLOOKUP(A132,Datos!$A$2:$H$1084,3,FALSE)</f>
        <v>25.70</v>
      </c>
      <c r="C132" t="str">
        <f>VLOOKUP(A132,Datos!$A$2:$H$1084,4,FALSE)</f>
        <v>0.00</v>
      </c>
      <c r="D132" t="str">
        <f>VLOOKUP(A132,Datos!$A$2:$H$1084,5,FALSE)</f>
        <v>0.08</v>
      </c>
      <c r="E132" t="str">
        <f>VLOOKUP(A132,Datos!$A$2:$H$1084,6,FALSE)</f>
        <v>9.05</v>
      </c>
      <c r="F132" t="str">
        <f>VLOOKUP(A132,Datos!$A$2:$H$1084,7,FALSE)</f>
        <v>0.00</v>
      </c>
      <c r="G132" t="str">
        <f>VLOOKUP(A132,Datos!$A$2:$H$1084,8,FALSE)</f>
        <v>0.01</v>
      </c>
    </row>
    <row r="133" spans="1:7" x14ac:dyDescent="0.3">
      <c r="A133" s="1">
        <v>45744</v>
      </c>
      <c r="B133" t="str">
        <f>VLOOKUP(A133,Datos!$A$2:$H$1084,3,FALSE)</f>
        <v>78.04</v>
      </c>
      <c r="C133" t="str">
        <f>VLOOKUP(A133,Datos!$A$2:$H$1084,4,FALSE)</f>
        <v>0.00</v>
      </c>
      <c r="D133" t="str">
        <f>VLOOKUP(A133,Datos!$A$2:$H$1084,5,FALSE)</f>
        <v>1.09</v>
      </c>
      <c r="E133" t="str">
        <f>VLOOKUP(A133,Datos!$A$2:$H$1084,6,FALSE)</f>
        <v>9.04</v>
      </c>
      <c r="F133" t="str">
        <f>VLOOKUP(A133,Datos!$A$2:$H$1084,7,FALSE)</f>
        <v>0.00</v>
      </c>
      <c r="G133" t="str">
        <f>VLOOKUP(A133,Datos!$A$2:$H$1084,8,FALSE)</f>
        <v>0.02</v>
      </c>
    </row>
    <row r="134" spans="1:7" x14ac:dyDescent="0.3">
      <c r="A134" s="1">
        <v>62597</v>
      </c>
      <c r="B134" t="str">
        <f>VLOOKUP(A134,Datos!$A$2:$H$1084,3,FALSE)</f>
        <v>35.82</v>
      </c>
      <c r="C134" t="str">
        <f>VLOOKUP(A134,Datos!$A$2:$H$1084,4,FALSE)</f>
        <v>0.01</v>
      </c>
      <c r="D134" t="str">
        <f>VLOOKUP(A134,Datos!$A$2:$H$1084,5,FALSE)</f>
        <v>2.16</v>
      </c>
      <c r="E134" t="str">
        <f>VLOOKUP(A134,Datos!$A$2:$H$1084,6,FALSE)</f>
        <v>26.86</v>
      </c>
      <c r="F134" t="str">
        <f>VLOOKUP(A134,Datos!$A$2:$H$1084,7,FALSE)</f>
        <v>0.01</v>
      </c>
      <c r="G134" t="str">
        <f>VLOOKUP(A134,Datos!$A$2:$H$1084,8,FALSE)</f>
        <v>0.17</v>
      </c>
    </row>
    <row r="135" spans="1:7" x14ac:dyDescent="0.3">
      <c r="A135" s="1">
        <v>794482</v>
      </c>
      <c r="B135" t="str">
        <f>VLOOKUP(A135,Datos!$A$2:$H$1084,3,FALSE)</f>
        <v>68.42</v>
      </c>
      <c r="C135" t="str">
        <f>VLOOKUP(A135,Datos!$A$2:$H$1084,4,FALSE)</f>
        <v>0.00</v>
      </c>
      <c r="D135" t="str">
        <f>VLOOKUP(A135,Datos!$A$2:$H$1084,5,FALSE)</f>
        <v>1.03</v>
      </c>
      <c r="E135" t="str">
        <f>VLOOKUP(A135,Datos!$A$2:$H$1084,6,FALSE)</f>
        <v>55.59</v>
      </c>
      <c r="F135" t="str">
        <f>VLOOKUP(A135,Datos!$A$2:$H$1084,7,FALSE)</f>
        <v>0.00</v>
      </c>
      <c r="G135" t="str">
        <f>VLOOKUP(A135,Datos!$A$2:$H$1084,8,FALSE)</f>
        <v>0.15</v>
      </c>
    </row>
    <row r="136" spans="1:7" x14ac:dyDescent="0.3">
      <c r="A136" s="1">
        <v>156063</v>
      </c>
      <c r="B136" t="str">
        <f>VLOOKUP(A136,Datos!$A$2:$H$1084,3,FALSE)</f>
        <v>89.85</v>
      </c>
      <c r="C136" t="str">
        <f>VLOOKUP(A136,Datos!$A$2:$H$1084,4,FALSE)</f>
        <v>0.00</v>
      </c>
      <c r="D136" t="str">
        <f>VLOOKUP(A136,Datos!$A$2:$H$1084,5,FALSE)</f>
        <v>1.57</v>
      </c>
      <c r="E136" t="str">
        <f>VLOOKUP(A136,Datos!$A$2:$H$1084,6,FALSE)</f>
        <v>22.92</v>
      </c>
      <c r="F136" t="str">
        <f>VLOOKUP(A136,Datos!$A$2:$H$1084,7,FALSE)</f>
        <v>0.00</v>
      </c>
      <c r="G136" t="str">
        <f>VLOOKUP(A136,Datos!$A$2:$H$1084,8,FALSE)</f>
        <v>0.00</v>
      </c>
    </row>
    <row r="137" spans="1:7" x14ac:dyDescent="0.3">
      <c r="A137" s="1">
        <v>779014</v>
      </c>
      <c r="B137" t="str">
        <f>VLOOKUP(A137,Datos!$A$2:$H$1084,3,FALSE)</f>
        <v>69.54</v>
      </c>
      <c r="C137" t="str">
        <f>VLOOKUP(A137,Datos!$A$2:$H$1084,4,FALSE)</f>
        <v>0.00</v>
      </c>
      <c r="D137" t="str">
        <f>VLOOKUP(A137,Datos!$A$2:$H$1084,5,FALSE)</f>
        <v>0.73</v>
      </c>
      <c r="E137" t="str">
        <f>VLOOKUP(A137,Datos!$A$2:$H$1084,6,FALSE)</f>
        <v>8.47</v>
      </c>
      <c r="F137" t="str">
        <f>VLOOKUP(A137,Datos!$A$2:$H$1084,7,FALSE)</f>
        <v>0.00</v>
      </c>
      <c r="G137" t="str">
        <f>VLOOKUP(A137,Datos!$A$2:$H$1084,8,FALSE)</f>
        <v>0.07</v>
      </c>
    </row>
    <row r="138" spans="1:7" x14ac:dyDescent="0.3">
      <c r="A138" s="1">
        <v>62984</v>
      </c>
      <c r="B138" t="str">
        <f>VLOOKUP(A138,Datos!$A$2:$H$1084,3,FALSE)</f>
        <v>27.13</v>
      </c>
      <c r="C138" t="str">
        <f>VLOOKUP(A138,Datos!$A$2:$H$1084,4,FALSE)</f>
        <v>0.00</v>
      </c>
      <c r="D138" t="str">
        <f>VLOOKUP(A138,Datos!$A$2:$H$1084,5,FALSE)</f>
        <v>0.14</v>
      </c>
      <c r="E138" t="str">
        <f>VLOOKUP(A138,Datos!$A$2:$H$1084,6,FALSE)</f>
        <v>13.77</v>
      </c>
      <c r="F138" t="str">
        <f>VLOOKUP(A138,Datos!$A$2:$H$1084,7,FALSE)</f>
        <v>0.00</v>
      </c>
      <c r="G138" t="str">
        <f>VLOOKUP(A138,Datos!$A$2:$H$1084,8,FALSE)</f>
        <v>0.02</v>
      </c>
    </row>
    <row r="139" spans="1:7" x14ac:dyDescent="0.3">
      <c r="A139" s="1">
        <v>66680</v>
      </c>
      <c r="B139" t="str">
        <f>VLOOKUP(A139,Datos!$A$2:$H$1084,3,FALSE)</f>
        <v>39.74</v>
      </c>
      <c r="C139" t="str">
        <f>VLOOKUP(A139,Datos!$A$2:$H$1084,4,FALSE)</f>
        <v>0.00</v>
      </c>
      <c r="D139" t="str">
        <f>VLOOKUP(A139,Datos!$A$2:$H$1084,5,FALSE)</f>
        <v>0.10</v>
      </c>
      <c r="E139" t="str">
        <f>VLOOKUP(A139,Datos!$A$2:$H$1084,6,FALSE)</f>
        <v>39.99</v>
      </c>
      <c r="F139" t="str">
        <f>VLOOKUP(A139,Datos!$A$2:$H$1084,7,FALSE)</f>
        <v>0.00</v>
      </c>
      <c r="G139" t="str">
        <f>VLOOKUP(A139,Datos!$A$2:$H$1084,8,FALSE)</f>
        <v>0.06</v>
      </c>
    </row>
    <row r="140" spans="1:7" x14ac:dyDescent="0.3">
      <c r="A140" s="1">
        <v>47559</v>
      </c>
      <c r="B140" t="str">
        <f>VLOOKUP(A140,Datos!$A$2:$H$1084,3,FALSE)</f>
        <v>122.39</v>
      </c>
      <c r="C140" t="str">
        <f>VLOOKUP(A140,Datos!$A$2:$H$1084,4,FALSE)</f>
        <v>0.00</v>
      </c>
      <c r="D140" t="str">
        <f>VLOOKUP(A140,Datos!$A$2:$H$1084,5,FALSE)</f>
        <v>2.36</v>
      </c>
      <c r="E140" t="str">
        <f>VLOOKUP(A140,Datos!$A$2:$H$1084,6,FALSE)</f>
        <v>18.25</v>
      </c>
      <c r="F140" t="str">
        <f>VLOOKUP(A140,Datos!$A$2:$H$1084,7,FALSE)</f>
        <v>0.00</v>
      </c>
      <c r="G140" t="str">
        <f>VLOOKUP(A140,Datos!$A$2:$H$1084,8,FALSE)</f>
        <v>0.21</v>
      </c>
    </row>
    <row r="141" spans="1:7" x14ac:dyDescent="0.3">
      <c r="A141" s="1">
        <v>463769</v>
      </c>
      <c r="B141" t="str">
        <f>VLOOKUP(A141,Datos!$A$2:$H$1084,3,FALSE)</f>
        <v>48.48</v>
      </c>
      <c r="C141" t="str">
        <f>VLOOKUP(A141,Datos!$A$2:$H$1084,4,FALSE)</f>
        <v>0.00</v>
      </c>
      <c r="D141" t="str">
        <f>VLOOKUP(A141,Datos!$A$2:$H$1084,5,FALSE)</f>
        <v>0.12</v>
      </c>
      <c r="E141" t="str">
        <f>VLOOKUP(A141,Datos!$A$2:$H$1084,6,FALSE)</f>
        <v>6.67</v>
      </c>
      <c r="F141" t="str">
        <f>VLOOKUP(A141,Datos!$A$2:$H$1084,7,FALSE)</f>
        <v>0.00</v>
      </c>
      <c r="G141" t="str">
        <f>VLOOKUP(A141,Datos!$A$2:$H$1084,8,FALSE)</f>
        <v>0.02</v>
      </c>
    </row>
    <row r="142" spans="1:7" x14ac:dyDescent="0.3">
      <c r="A142" s="1">
        <v>168952</v>
      </c>
      <c r="B142" t="str">
        <f>VLOOKUP(A142,Datos!$A$2:$H$1084,3,FALSE)</f>
        <v>32.47</v>
      </c>
      <c r="C142" t="str">
        <f>VLOOKUP(A142,Datos!$A$2:$H$1084,4,FALSE)</f>
        <v>0.01</v>
      </c>
      <c r="D142" t="str">
        <f>VLOOKUP(A142,Datos!$A$2:$H$1084,5,FALSE)</f>
        <v>0.03</v>
      </c>
      <c r="E142" t="str">
        <f>VLOOKUP(A142,Datos!$A$2:$H$1084,6,FALSE)</f>
        <v>12.24</v>
      </c>
      <c r="F142" t="str">
        <f>VLOOKUP(A142,Datos!$A$2:$H$1084,7,FALSE)</f>
        <v>0.00</v>
      </c>
      <c r="G142" t="str">
        <f>VLOOKUP(A142,Datos!$A$2:$H$1084,8,FALSE)</f>
        <v>0.01</v>
      </c>
    </row>
    <row r="143" spans="1:7" x14ac:dyDescent="0.3">
      <c r="A143" s="1">
        <v>583762</v>
      </c>
      <c r="B143" t="str">
        <f>VLOOKUP(A143,Datos!$A$2:$H$1084,3,FALSE)</f>
        <v>52.66</v>
      </c>
      <c r="C143" t="str">
        <f>VLOOKUP(A143,Datos!$A$2:$H$1084,4,FALSE)</f>
        <v>0.00</v>
      </c>
      <c r="D143" t="str">
        <f>VLOOKUP(A143,Datos!$A$2:$H$1084,5,FALSE)</f>
        <v>0.69</v>
      </c>
      <c r="E143" t="str">
        <f>VLOOKUP(A143,Datos!$A$2:$H$1084,6,FALSE)</f>
        <v>3.77</v>
      </c>
      <c r="F143" t="str">
        <f>VLOOKUP(A143,Datos!$A$2:$H$1084,7,FALSE)</f>
        <v>0.00</v>
      </c>
      <c r="G143" t="str">
        <f>VLOOKUP(A143,Datos!$A$2:$H$1084,8,FALSE)</f>
        <v>0.06</v>
      </c>
    </row>
    <row r="144" spans="1:7" x14ac:dyDescent="0.3">
      <c r="A144" s="1">
        <v>62540</v>
      </c>
      <c r="B144" t="str">
        <f>VLOOKUP(A144,Datos!$A$2:$H$1084,3,FALSE)</f>
        <v>34.42</v>
      </c>
      <c r="C144" t="str">
        <f>VLOOKUP(A144,Datos!$A$2:$H$1084,4,FALSE)</f>
        <v>0.00</v>
      </c>
      <c r="D144" t="str">
        <f>VLOOKUP(A144,Datos!$A$2:$H$1084,5,FALSE)</f>
        <v>0.33</v>
      </c>
      <c r="E144" t="str">
        <f>VLOOKUP(A144,Datos!$A$2:$H$1084,6,FALSE)</f>
        <v>6.80</v>
      </c>
      <c r="F144" t="str">
        <f>VLOOKUP(A144,Datos!$A$2:$H$1084,7,FALSE)</f>
        <v>0.00</v>
      </c>
      <c r="G144" t="str">
        <f>VLOOKUP(A144,Datos!$A$2:$H$1084,8,FALSE)</f>
        <v>0.05</v>
      </c>
    </row>
    <row r="145" spans="1:7" x14ac:dyDescent="0.3">
      <c r="A145" s="1">
        <v>76448</v>
      </c>
      <c r="B145" t="str">
        <f>VLOOKUP(A145,Datos!$A$2:$H$1084,3,FALSE)</f>
        <v>46.45</v>
      </c>
      <c r="C145" t="str">
        <f>VLOOKUP(A145,Datos!$A$2:$H$1084,4,FALSE)</f>
        <v>0.00</v>
      </c>
      <c r="D145" t="str">
        <f>VLOOKUP(A145,Datos!$A$2:$H$1084,5,FALSE)</f>
        <v>0.10</v>
      </c>
      <c r="E145" t="str">
        <f>VLOOKUP(A145,Datos!$A$2:$H$1084,6,FALSE)</f>
        <v>1.17</v>
      </c>
      <c r="F145" t="str">
        <f>VLOOKUP(A145,Datos!$A$2:$H$1084,7,FALSE)</f>
        <v>0.00</v>
      </c>
      <c r="G145" t="str">
        <f>VLOOKUP(A145,Datos!$A$2:$H$1084,8,FALSE)</f>
        <v>0.01</v>
      </c>
    </row>
    <row r="146" spans="1:7" x14ac:dyDescent="0.3">
      <c r="A146" s="1">
        <v>160550</v>
      </c>
      <c r="B146" t="str">
        <f>VLOOKUP(A146,Datos!$A$2:$H$1084,3,FALSE)</f>
        <v>14.32</v>
      </c>
      <c r="C146" t="str">
        <f>VLOOKUP(A146,Datos!$A$2:$H$1084,4,FALSE)</f>
        <v>0.00</v>
      </c>
      <c r="D146" t="str">
        <f>VLOOKUP(A146,Datos!$A$2:$H$1084,5,FALSE)</f>
        <v>0.03</v>
      </c>
      <c r="E146" t="str">
        <f>VLOOKUP(A146,Datos!$A$2:$H$1084,6,FALSE)</f>
        <v>0.84</v>
      </c>
      <c r="F146" t="str">
        <f>VLOOKUP(A146,Datos!$A$2:$H$1084,7,FALSE)</f>
        <v>0.00</v>
      </c>
      <c r="G146" t="str">
        <f>VLOOKUP(A146,Datos!$A$2:$H$1084,8,FALSE)</f>
        <v>0.01</v>
      </c>
    </row>
    <row r="147" spans="1:7" x14ac:dyDescent="0.3">
      <c r="A147" s="1">
        <v>150315</v>
      </c>
      <c r="B147" t="str">
        <f>VLOOKUP(A147,Datos!$A$2:$H$1084,3,FALSE)</f>
        <v>91.02</v>
      </c>
      <c r="C147" t="str">
        <f>VLOOKUP(A147,Datos!$A$2:$H$1084,4,FALSE)</f>
        <v>0.00</v>
      </c>
      <c r="D147" t="str">
        <f>VLOOKUP(A147,Datos!$A$2:$H$1084,5,FALSE)</f>
        <v>0.07</v>
      </c>
      <c r="E147" t="str">
        <f>VLOOKUP(A147,Datos!$A$2:$H$1084,6,FALSE)</f>
        <v>3.50</v>
      </c>
      <c r="F147" t="str">
        <f>VLOOKUP(A147,Datos!$A$2:$H$1084,7,FALSE)</f>
        <v>0.00</v>
      </c>
      <c r="G147" t="str">
        <f>VLOOKUP(A147,Datos!$A$2:$H$1084,8,FALSE)</f>
        <v>0.01</v>
      </c>
    </row>
    <row r="148" spans="1:7" x14ac:dyDescent="0.3">
      <c r="A148" s="1">
        <v>62903</v>
      </c>
      <c r="B148" t="str">
        <f>VLOOKUP(A148,Datos!$A$2:$H$1084,3,FALSE)</f>
        <v>14.66</v>
      </c>
      <c r="C148" t="str">
        <f>VLOOKUP(A148,Datos!$A$2:$H$1084,4,FALSE)</f>
        <v>0.00</v>
      </c>
      <c r="D148" t="str">
        <f>VLOOKUP(A148,Datos!$A$2:$H$1084,5,FALSE)</f>
        <v>0.01</v>
      </c>
      <c r="E148" t="str">
        <f>VLOOKUP(A148,Datos!$A$2:$H$1084,6,FALSE)</f>
        <v>0.44</v>
      </c>
      <c r="F148" t="str">
        <f>VLOOKUP(A148,Datos!$A$2:$H$1084,7,FALSE)</f>
        <v>0.00</v>
      </c>
      <c r="G148" t="str">
        <f>VLOOKUP(A148,Datos!$A$2:$H$1084,8,FALSE)</f>
        <v>0.00</v>
      </c>
    </row>
    <row r="149" spans="1:7" x14ac:dyDescent="0.3">
      <c r="A149" s="1">
        <v>59458</v>
      </c>
      <c r="B149" t="str">
        <f>VLOOKUP(A149,Datos!$A$2:$H$1084,3,FALSE)</f>
        <v>19.70</v>
      </c>
      <c r="C149" t="str">
        <f>VLOOKUP(A149,Datos!$A$2:$H$1084,4,FALSE)</f>
        <v>0.00</v>
      </c>
      <c r="D149" t="str">
        <f>VLOOKUP(A149,Datos!$A$2:$H$1084,5,FALSE)</f>
        <v>0.17</v>
      </c>
      <c r="E149" t="str">
        <f>VLOOKUP(A149,Datos!$A$2:$H$1084,6,FALSE)</f>
        <v>4.57</v>
      </c>
      <c r="F149" t="str">
        <f>VLOOKUP(A149,Datos!$A$2:$H$1084,7,FALSE)</f>
        <v>0.00</v>
      </c>
      <c r="G149" t="str">
        <f>VLOOKUP(A149,Datos!$A$2:$H$1084,8,FALSE)</f>
        <v>0.02</v>
      </c>
    </row>
    <row r="150" spans="1:7" x14ac:dyDescent="0.3">
      <c r="A150" s="1">
        <v>91948</v>
      </c>
      <c r="B150" t="str">
        <f>VLOOKUP(A150,Datos!$A$2:$H$1084,3,FALSE)</f>
        <v>51.16</v>
      </c>
      <c r="C150" t="str">
        <f>VLOOKUP(A150,Datos!$A$2:$H$1084,4,FALSE)</f>
        <v>0.00</v>
      </c>
      <c r="D150" t="str">
        <f>VLOOKUP(A150,Datos!$A$2:$H$1084,5,FALSE)</f>
        <v>0.25</v>
      </c>
      <c r="E150" t="str">
        <f>VLOOKUP(A150,Datos!$A$2:$H$1084,6,FALSE)</f>
        <v>8.63</v>
      </c>
      <c r="F150" t="str">
        <f>VLOOKUP(A150,Datos!$A$2:$H$1084,7,FALSE)</f>
        <v>0.00</v>
      </c>
      <c r="G150" t="str">
        <f>VLOOKUP(A150,Datos!$A$2:$H$1084,8,FALSE)</f>
        <v>0.02</v>
      </c>
    </row>
    <row r="151" spans="1:7" x14ac:dyDescent="0.3">
      <c r="A151" s="1">
        <v>441635</v>
      </c>
      <c r="B151" t="str">
        <f>VLOOKUP(A151,Datos!$A$2:$H$1084,3,FALSE)</f>
        <v>43.97</v>
      </c>
      <c r="C151" t="str">
        <f>VLOOKUP(A151,Datos!$A$2:$H$1084,4,FALSE)</f>
        <v>0.00</v>
      </c>
      <c r="D151" t="str">
        <f>VLOOKUP(A151,Datos!$A$2:$H$1084,5,FALSE)</f>
        <v>0.04</v>
      </c>
      <c r="E151" t="str">
        <f>VLOOKUP(A151,Datos!$A$2:$H$1084,6,FALSE)</f>
        <v>7.86</v>
      </c>
      <c r="F151" t="str">
        <f>VLOOKUP(A151,Datos!$A$2:$H$1084,7,FALSE)</f>
        <v>0.00</v>
      </c>
      <c r="G151" t="str">
        <f>VLOOKUP(A151,Datos!$A$2:$H$1084,8,FALSE)</f>
        <v>0.01</v>
      </c>
    </row>
    <row r="152" spans="1:7" x14ac:dyDescent="0.3">
      <c r="A152" s="1">
        <v>452308</v>
      </c>
      <c r="B152" t="str">
        <f>VLOOKUP(A152,Datos!$A$2:$H$1084,3,FALSE)</f>
        <v>91.88</v>
      </c>
      <c r="C152" t="str">
        <f>VLOOKUP(A152,Datos!$A$2:$H$1084,4,FALSE)</f>
        <v>0.00</v>
      </c>
      <c r="D152" t="str">
        <f>VLOOKUP(A152,Datos!$A$2:$H$1084,5,FALSE)</f>
        <v>1.04</v>
      </c>
      <c r="E152" t="str">
        <f>VLOOKUP(A152,Datos!$A$2:$H$1084,6,FALSE)</f>
        <v>7.90</v>
      </c>
      <c r="F152" t="str">
        <f>VLOOKUP(A152,Datos!$A$2:$H$1084,7,FALSE)</f>
        <v>0.00</v>
      </c>
      <c r="G152" t="str">
        <f>VLOOKUP(A152,Datos!$A$2:$H$1084,8,FALSE)</f>
        <v>0.10</v>
      </c>
    </row>
    <row r="153" spans="1:7" x14ac:dyDescent="0.3">
      <c r="A153" s="1">
        <v>445676</v>
      </c>
      <c r="B153" t="str">
        <f>VLOOKUP(A153,Datos!$A$2:$H$1084,3,FALSE)</f>
        <v>68.42</v>
      </c>
      <c r="C153" t="str">
        <f>VLOOKUP(A153,Datos!$A$2:$H$1084,4,FALSE)</f>
        <v>0.00</v>
      </c>
      <c r="D153" t="str">
        <f>VLOOKUP(A153,Datos!$A$2:$H$1084,5,FALSE)</f>
        <v>0.26</v>
      </c>
      <c r="E153" t="str">
        <f>VLOOKUP(A153,Datos!$A$2:$H$1084,6,FALSE)</f>
        <v>11.95</v>
      </c>
      <c r="F153" t="str">
        <f>VLOOKUP(A153,Datos!$A$2:$H$1084,7,FALSE)</f>
        <v>0.00</v>
      </c>
      <c r="G153" t="str">
        <f>VLOOKUP(A153,Datos!$A$2:$H$1084,8,FALSE)</f>
        <v>0.02</v>
      </c>
    </row>
    <row r="154" spans="1:7" x14ac:dyDescent="0.3">
      <c r="A154" s="1">
        <v>44693</v>
      </c>
      <c r="B154" t="str">
        <f>VLOOKUP(A154,Datos!$A$2:$H$1084,3,FALSE)</f>
        <v>89.32</v>
      </c>
      <c r="C154" t="str">
        <f>VLOOKUP(A154,Datos!$A$2:$H$1084,4,FALSE)</f>
        <v>0.00</v>
      </c>
      <c r="D154" t="str">
        <f>VLOOKUP(A154,Datos!$A$2:$H$1084,5,FALSE)</f>
        <v>0.20</v>
      </c>
      <c r="E154" t="str">
        <f>VLOOKUP(A154,Datos!$A$2:$H$1084,6,FALSE)</f>
        <v>13.94</v>
      </c>
      <c r="F154" t="str">
        <f>VLOOKUP(A154,Datos!$A$2:$H$1084,7,FALSE)</f>
        <v>0.00</v>
      </c>
      <c r="G154" t="str">
        <f>VLOOKUP(A154,Datos!$A$2:$H$1084,8,FALSE)</f>
        <v>0.02</v>
      </c>
    </row>
    <row r="155" spans="1:7" x14ac:dyDescent="0.3">
      <c r="A155" s="1">
        <v>46036</v>
      </c>
      <c r="B155" t="str">
        <f>VLOOKUP(A155,Datos!$A$2:$H$1084,3,FALSE)</f>
        <v>81.71</v>
      </c>
      <c r="C155" t="str">
        <f>VLOOKUP(A155,Datos!$A$2:$H$1084,4,FALSE)</f>
        <v>0.01</v>
      </c>
      <c r="D155" t="str">
        <f>VLOOKUP(A155,Datos!$A$2:$H$1084,5,FALSE)</f>
        <v>1.54</v>
      </c>
      <c r="E155" t="str">
        <f>VLOOKUP(A155,Datos!$A$2:$H$1084,6,FALSE)</f>
        <v>14.76</v>
      </c>
      <c r="F155" t="str">
        <f>VLOOKUP(A155,Datos!$A$2:$H$1084,7,FALSE)</f>
        <v>0.01</v>
      </c>
      <c r="G155" t="str">
        <f>VLOOKUP(A155,Datos!$A$2:$H$1084,8,FALSE)</f>
        <v>0.17</v>
      </c>
    </row>
    <row r="156" spans="1:7" x14ac:dyDescent="0.3">
      <c r="A156" s="1">
        <v>55323</v>
      </c>
      <c r="B156" t="str">
        <f>VLOOKUP(A156,Datos!$A$2:$H$1084,3,FALSE)</f>
        <v>62.79</v>
      </c>
      <c r="C156" t="str">
        <f>VLOOKUP(A156,Datos!$A$2:$H$1084,4,FALSE)</f>
        <v>0.00</v>
      </c>
      <c r="D156" t="str">
        <f>VLOOKUP(A156,Datos!$A$2:$H$1084,5,FALSE)</f>
        <v>0.24</v>
      </c>
      <c r="E156" t="str">
        <f>VLOOKUP(A156,Datos!$A$2:$H$1084,6,FALSE)</f>
        <v>8.70</v>
      </c>
      <c r="F156" t="str">
        <f>VLOOKUP(A156,Datos!$A$2:$H$1084,7,FALSE)</f>
        <v>0.00</v>
      </c>
      <c r="G156" t="str">
        <f>VLOOKUP(A156,Datos!$A$2:$H$1084,8,FALSE)</f>
        <v>0.04</v>
      </c>
    </row>
    <row r="157" spans="1:7" x14ac:dyDescent="0.3">
      <c r="A157" s="1">
        <v>90454</v>
      </c>
      <c r="B157" t="str">
        <f>VLOOKUP(A157,Datos!$A$2:$H$1084,3,FALSE)</f>
        <v>5.41</v>
      </c>
      <c r="C157" t="str">
        <f>VLOOKUP(A157,Datos!$A$2:$H$1084,4,FALSE)</f>
        <v>0.00</v>
      </c>
      <c r="D157" t="str">
        <f>VLOOKUP(A157,Datos!$A$2:$H$1084,5,FALSE)</f>
        <v>0.00</v>
      </c>
      <c r="E157" t="str">
        <f>VLOOKUP(A157,Datos!$A$2:$H$1084,6,FALSE)</f>
        <v>0.22</v>
      </c>
      <c r="F157" t="str">
        <f>VLOOKUP(A157,Datos!$A$2:$H$1084,7,FALSE)</f>
        <v>0.00</v>
      </c>
      <c r="G157" t="str">
        <f>VLOOKUP(A157,Datos!$A$2:$H$1084,8,FALSE)</f>
        <v>0.00</v>
      </c>
    </row>
    <row r="158" spans="1:7" x14ac:dyDescent="0.3">
      <c r="A158" s="1">
        <v>159113</v>
      </c>
      <c r="B158" t="str">
        <f>VLOOKUP(A158,Datos!$A$2:$H$1084,3,FALSE)</f>
        <v>0</v>
      </c>
      <c r="C158" t="str">
        <f>VLOOKUP(A158,Datos!$A$2:$H$1084,4,FALSE)</f>
        <v>0</v>
      </c>
      <c r="D158" t="str">
        <f>VLOOKUP(A158,Datos!$A$2:$H$1084,5,FALSE)</f>
        <v>0</v>
      </c>
      <c r="E158" t="str">
        <f>VLOOKUP(A158,Datos!$A$2:$H$1084,6,FALSE)</f>
        <v>0</v>
      </c>
      <c r="F158" t="str">
        <f>VLOOKUP(A158,Datos!$A$2:$H$1084,7,FALSE)</f>
        <v>0</v>
      </c>
      <c r="G158" t="str">
        <f>VLOOKUP(A158,Datos!$A$2:$H$1084,8,FALSE)</f>
        <v>0</v>
      </c>
    </row>
    <row r="159" spans="1:7" x14ac:dyDescent="0.3">
      <c r="A159" s="1">
        <v>441659</v>
      </c>
      <c r="B159" t="str">
        <f>VLOOKUP(A159,Datos!$A$2:$H$1084,3,FALSE)</f>
        <v>33.11</v>
      </c>
      <c r="C159" t="str">
        <f>VLOOKUP(A159,Datos!$A$2:$H$1084,4,FALSE)</f>
        <v>0.00</v>
      </c>
      <c r="D159" t="str">
        <f>VLOOKUP(A159,Datos!$A$2:$H$1084,5,FALSE)</f>
        <v>0.09</v>
      </c>
      <c r="E159" t="str">
        <f>VLOOKUP(A159,Datos!$A$2:$H$1084,6,FALSE)</f>
        <v>6.61</v>
      </c>
      <c r="F159" t="str">
        <f>VLOOKUP(A159,Datos!$A$2:$H$1084,7,FALSE)</f>
        <v>0.00</v>
      </c>
      <c r="G159" t="str">
        <f>VLOOKUP(A159,Datos!$A$2:$H$1084,8,FALSE)</f>
        <v>0.02</v>
      </c>
    </row>
    <row r="160" spans="1:7" x14ac:dyDescent="0.3">
      <c r="A160" s="1">
        <v>463632</v>
      </c>
      <c r="B160" t="str">
        <f>VLOOKUP(A160,Datos!$A$2:$H$1084,3,FALSE)</f>
        <v>21.57</v>
      </c>
      <c r="C160" t="str">
        <f>VLOOKUP(A160,Datos!$A$2:$H$1084,4,FALSE)</f>
        <v>0.00</v>
      </c>
      <c r="D160" t="str">
        <f>VLOOKUP(A160,Datos!$A$2:$H$1084,5,FALSE)</f>
        <v>0.03</v>
      </c>
      <c r="E160" t="str">
        <f>VLOOKUP(A160,Datos!$A$2:$H$1084,6,FALSE)</f>
        <v>2.37</v>
      </c>
      <c r="F160" t="str">
        <f>VLOOKUP(A160,Datos!$A$2:$H$1084,7,FALSE)</f>
        <v>0.00</v>
      </c>
      <c r="G160" t="str">
        <f>VLOOKUP(A160,Datos!$A$2:$H$1084,8,FALSE)</f>
        <v>0.01</v>
      </c>
    </row>
    <row r="161" spans="1:7" x14ac:dyDescent="0.3">
      <c r="A161" s="1">
        <v>149077</v>
      </c>
      <c r="B161" t="str">
        <f>VLOOKUP(A161,Datos!$A$2:$H$1084,3,FALSE)</f>
        <v>38.09</v>
      </c>
      <c r="C161" t="str">
        <f>VLOOKUP(A161,Datos!$A$2:$H$1084,4,FALSE)</f>
        <v>0.00</v>
      </c>
      <c r="D161" t="str">
        <f>VLOOKUP(A161,Datos!$A$2:$H$1084,5,FALSE)</f>
        <v>0.11</v>
      </c>
      <c r="E161" t="str">
        <f>VLOOKUP(A161,Datos!$A$2:$H$1084,6,FALSE)</f>
        <v>3.98</v>
      </c>
      <c r="F161" t="str">
        <f>VLOOKUP(A161,Datos!$A$2:$H$1084,7,FALSE)</f>
        <v>0.01</v>
      </c>
      <c r="G161" t="str">
        <f>VLOOKUP(A161,Datos!$A$2:$H$1084,8,FALSE)</f>
        <v>0.02</v>
      </c>
    </row>
    <row r="162" spans="1:7" x14ac:dyDescent="0.3">
      <c r="A162" s="1">
        <v>452718</v>
      </c>
      <c r="B162" t="str">
        <f>VLOOKUP(A162,Datos!$A$2:$H$1084,3,FALSE)</f>
        <v>40.61</v>
      </c>
      <c r="C162" t="str">
        <f>VLOOKUP(A162,Datos!$A$2:$H$1084,4,FALSE)</f>
        <v>0.00</v>
      </c>
      <c r="D162" t="str">
        <f>VLOOKUP(A162,Datos!$A$2:$H$1084,5,FALSE)</f>
        <v>0.03</v>
      </c>
      <c r="E162" t="str">
        <f>VLOOKUP(A162,Datos!$A$2:$H$1084,6,FALSE)</f>
        <v>2.24</v>
      </c>
      <c r="F162" t="str">
        <f>VLOOKUP(A162,Datos!$A$2:$H$1084,7,FALSE)</f>
        <v>0.00</v>
      </c>
      <c r="G162" t="str">
        <f>VLOOKUP(A162,Datos!$A$2:$H$1084,8,FALSE)</f>
        <v>0.01</v>
      </c>
    </row>
    <row r="163" spans="1:7" x14ac:dyDescent="0.3">
      <c r="A163" s="1">
        <v>169225</v>
      </c>
      <c r="B163" t="str">
        <f>VLOOKUP(A163,Datos!$A$2:$H$1084,3,FALSE)</f>
        <v>45.86</v>
      </c>
      <c r="C163" t="str">
        <f>VLOOKUP(A163,Datos!$A$2:$H$1084,4,FALSE)</f>
        <v>0.00</v>
      </c>
      <c r="D163" t="str">
        <f>VLOOKUP(A163,Datos!$A$2:$H$1084,5,FALSE)</f>
        <v>0.19</v>
      </c>
      <c r="E163" t="str">
        <f>VLOOKUP(A163,Datos!$A$2:$H$1084,6,FALSE)</f>
        <v>6.68</v>
      </c>
      <c r="F163" t="str">
        <f>VLOOKUP(A163,Datos!$A$2:$H$1084,7,FALSE)</f>
        <v>0.01</v>
      </c>
      <c r="G163" t="str">
        <f>VLOOKUP(A163,Datos!$A$2:$H$1084,8,FALSE)</f>
        <v>0.02</v>
      </c>
    </row>
    <row r="164" spans="1:7" x14ac:dyDescent="0.3">
      <c r="A164" s="1">
        <v>558847</v>
      </c>
      <c r="B164" t="str">
        <f>VLOOKUP(A164,Datos!$A$2:$H$1084,3,FALSE)</f>
        <v>27.57</v>
      </c>
      <c r="C164" t="str">
        <f>VLOOKUP(A164,Datos!$A$2:$H$1084,4,FALSE)</f>
        <v>0.00</v>
      </c>
      <c r="D164" t="str">
        <f>VLOOKUP(A164,Datos!$A$2:$H$1084,5,FALSE)</f>
        <v>0.06</v>
      </c>
      <c r="E164" t="str">
        <f>VLOOKUP(A164,Datos!$A$2:$H$1084,6,FALSE)</f>
        <v>1.40</v>
      </c>
      <c r="F164" t="str">
        <f>VLOOKUP(A164,Datos!$A$2:$H$1084,7,FALSE)</f>
        <v>0.00</v>
      </c>
      <c r="G164" t="str">
        <f>VLOOKUP(A164,Datos!$A$2:$H$1084,8,FALSE)</f>
        <v>0.01</v>
      </c>
    </row>
    <row r="165" spans="1:7" x14ac:dyDescent="0.3">
      <c r="A165" s="1">
        <v>93565</v>
      </c>
      <c r="B165" t="str">
        <f>VLOOKUP(A165,Datos!$A$2:$H$1084,3,FALSE)</f>
        <v>38.64</v>
      </c>
      <c r="C165" t="str">
        <f>VLOOKUP(A165,Datos!$A$2:$H$1084,4,FALSE)</f>
        <v>0.00</v>
      </c>
      <c r="D165" t="str">
        <f>VLOOKUP(A165,Datos!$A$2:$H$1084,5,FALSE)</f>
        <v>0.58</v>
      </c>
      <c r="E165" t="str">
        <f>VLOOKUP(A165,Datos!$A$2:$H$1084,6,FALSE)</f>
        <v>12.62</v>
      </c>
      <c r="F165" t="str">
        <f>VLOOKUP(A165,Datos!$A$2:$H$1084,7,FALSE)</f>
        <v>0.00</v>
      </c>
      <c r="G165" t="str">
        <f>VLOOKUP(A165,Datos!$A$2:$H$1084,8,FALSE)</f>
        <v>0.08</v>
      </c>
    </row>
    <row r="166" spans="1:7" x14ac:dyDescent="0.3">
      <c r="A166" s="1">
        <v>79437</v>
      </c>
      <c r="B166" t="str">
        <f>VLOOKUP(A166,Datos!$A$2:$H$1084,3,FALSE)</f>
        <v>42.63</v>
      </c>
      <c r="C166" t="str">
        <f>VLOOKUP(A166,Datos!$A$2:$H$1084,4,FALSE)</f>
        <v>0.00</v>
      </c>
      <c r="D166" t="str">
        <f>VLOOKUP(A166,Datos!$A$2:$H$1084,5,FALSE)</f>
        <v>0.11</v>
      </c>
      <c r="E166" t="str">
        <f>VLOOKUP(A166,Datos!$A$2:$H$1084,6,FALSE)</f>
        <v>11.63</v>
      </c>
      <c r="F166" t="str">
        <f>VLOOKUP(A166,Datos!$A$2:$H$1084,7,FALSE)</f>
        <v>0.00</v>
      </c>
      <c r="G166" t="str">
        <f>VLOOKUP(A166,Datos!$A$2:$H$1084,8,FALSE)</f>
        <v>0.02</v>
      </c>
    </row>
    <row r="167" spans="1:7" x14ac:dyDescent="0.3">
      <c r="A167" s="1">
        <v>544681</v>
      </c>
      <c r="B167" t="str">
        <f>VLOOKUP(A167,Datos!$A$2:$H$1084,3,FALSE)</f>
        <v>39.39</v>
      </c>
      <c r="C167" t="str">
        <f>VLOOKUP(A167,Datos!$A$2:$H$1084,4,FALSE)</f>
        <v>0.01</v>
      </c>
      <c r="D167" t="str">
        <f>VLOOKUP(A167,Datos!$A$2:$H$1084,5,FALSE)</f>
        <v>0.64</v>
      </c>
      <c r="E167" t="str">
        <f>VLOOKUP(A167,Datos!$A$2:$H$1084,6,FALSE)</f>
        <v>16.64</v>
      </c>
      <c r="F167" t="str">
        <f>VLOOKUP(A167,Datos!$A$2:$H$1084,7,FALSE)</f>
        <v>0.01</v>
      </c>
      <c r="G167" t="str">
        <f>VLOOKUP(A167,Datos!$A$2:$H$1084,8,FALSE)</f>
        <v>0.07</v>
      </c>
    </row>
    <row r="168" spans="1:7" x14ac:dyDescent="0.3">
      <c r="A168" s="1">
        <v>80619</v>
      </c>
      <c r="B168" t="str">
        <f>VLOOKUP(A168,Datos!$A$2:$H$1084,3,FALSE)</f>
        <v>26.43</v>
      </c>
      <c r="C168" t="str">
        <f>VLOOKUP(A168,Datos!$A$2:$H$1084,4,FALSE)</f>
        <v>0.00</v>
      </c>
      <c r="D168" t="str">
        <f>VLOOKUP(A168,Datos!$A$2:$H$1084,5,FALSE)</f>
        <v>0.09</v>
      </c>
      <c r="E168" t="str">
        <f>VLOOKUP(A168,Datos!$A$2:$H$1084,6,FALSE)</f>
        <v>1.13</v>
      </c>
      <c r="F168" t="str">
        <f>VLOOKUP(A168,Datos!$A$2:$H$1084,7,FALSE)</f>
        <v>0.00</v>
      </c>
      <c r="G168" t="str">
        <f>VLOOKUP(A168,Datos!$A$2:$H$1084,8,FALSE)</f>
        <v>0.01</v>
      </c>
    </row>
    <row r="169" spans="1:7" x14ac:dyDescent="0.3">
      <c r="A169" s="1">
        <v>445723</v>
      </c>
      <c r="B169" t="str">
        <f>VLOOKUP(A169,Datos!$A$2:$H$1084,3,FALSE)</f>
        <v>67.87</v>
      </c>
      <c r="C169" t="str">
        <f>VLOOKUP(A169,Datos!$A$2:$H$1084,4,FALSE)</f>
        <v>0.00</v>
      </c>
      <c r="D169" t="str">
        <f>VLOOKUP(A169,Datos!$A$2:$H$1084,5,FALSE)</f>
        <v>2.13</v>
      </c>
      <c r="E169" t="str">
        <f>VLOOKUP(A169,Datos!$A$2:$H$1084,6,FALSE)</f>
        <v>26.61</v>
      </c>
      <c r="F169" t="str">
        <f>VLOOKUP(A169,Datos!$A$2:$H$1084,7,FALSE)</f>
        <v>0.00</v>
      </c>
      <c r="G169" t="str">
        <f>VLOOKUP(A169,Datos!$A$2:$H$1084,8,FALSE)</f>
        <v>0.33</v>
      </c>
    </row>
    <row r="170" spans="1:7" x14ac:dyDescent="0.3">
      <c r="A170" s="1">
        <v>86857</v>
      </c>
      <c r="B170" t="str">
        <f>VLOOKUP(A170,Datos!$A$2:$H$1084,3,FALSE)</f>
        <v>34.36</v>
      </c>
      <c r="C170" t="str">
        <f>VLOOKUP(A170,Datos!$A$2:$H$1084,4,FALSE)</f>
        <v>0.00</v>
      </c>
      <c r="D170" t="str">
        <f>VLOOKUP(A170,Datos!$A$2:$H$1084,5,FALSE)</f>
        <v>0.17</v>
      </c>
      <c r="E170" t="str">
        <f>VLOOKUP(A170,Datos!$A$2:$H$1084,6,FALSE)</f>
        <v>13.50</v>
      </c>
      <c r="F170" t="str">
        <f>VLOOKUP(A170,Datos!$A$2:$H$1084,7,FALSE)</f>
        <v>0.00</v>
      </c>
      <c r="G170" t="str">
        <f>VLOOKUP(A170,Datos!$A$2:$H$1084,8,FALSE)</f>
        <v>0.03</v>
      </c>
    </row>
    <row r="171" spans="1:7" x14ac:dyDescent="0.3">
      <c r="A171" s="1">
        <v>160574</v>
      </c>
      <c r="B171" t="str">
        <f>VLOOKUP(A171,Datos!$A$2:$H$1084,3,FALSE)</f>
        <v>29.85</v>
      </c>
      <c r="C171" t="str">
        <f>VLOOKUP(A171,Datos!$A$2:$H$1084,4,FALSE)</f>
        <v>0.00</v>
      </c>
      <c r="D171" t="str">
        <f>VLOOKUP(A171,Datos!$A$2:$H$1084,5,FALSE)</f>
        <v>0.16</v>
      </c>
      <c r="E171" t="str">
        <f>VLOOKUP(A171,Datos!$A$2:$H$1084,6,FALSE)</f>
        <v>9.51</v>
      </c>
      <c r="F171" t="str">
        <f>VLOOKUP(A171,Datos!$A$2:$H$1084,7,FALSE)</f>
        <v>0.00</v>
      </c>
      <c r="G171" t="str">
        <f>VLOOKUP(A171,Datos!$A$2:$H$1084,8,FALSE)</f>
        <v>0.02</v>
      </c>
    </row>
    <row r="172" spans="1:7" x14ac:dyDescent="0.3">
      <c r="A172" s="1">
        <v>462473</v>
      </c>
      <c r="B172" t="str">
        <f>VLOOKUP(A172,Datos!$A$2:$H$1084,3,FALSE)</f>
        <v>81.77</v>
      </c>
      <c r="C172" t="str">
        <f>VLOOKUP(A172,Datos!$A$2:$H$1084,4,FALSE)</f>
        <v>0.00</v>
      </c>
      <c r="D172" t="str">
        <f>VLOOKUP(A172,Datos!$A$2:$H$1084,5,FALSE)</f>
        <v>0.66</v>
      </c>
      <c r="E172" t="str">
        <f>VLOOKUP(A172,Datos!$A$2:$H$1084,6,FALSE)</f>
        <v>21.49</v>
      </c>
      <c r="F172" t="str">
        <f>VLOOKUP(A172,Datos!$A$2:$H$1084,7,FALSE)</f>
        <v>0.00</v>
      </c>
      <c r="G172" t="str">
        <f>VLOOKUP(A172,Datos!$A$2:$H$1084,8,FALSE)</f>
        <v>0.07</v>
      </c>
    </row>
    <row r="173" spans="1:7" x14ac:dyDescent="0.3">
      <c r="A173" s="1">
        <v>463552</v>
      </c>
      <c r="B173" t="str">
        <f>VLOOKUP(A173,Datos!$A$2:$H$1084,3,FALSE)</f>
        <v>120.88</v>
      </c>
      <c r="C173" t="str">
        <f>VLOOKUP(A173,Datos!$A$2:$H$1084,4,FALSE)</f>
        <v>0.00</v>
      </c>
      <c r="D173" t="str">
        <f>VLOOKUP(A173,Datos!$A$2:$H$1084,5,FALSE)</f>
        <v>0.62</v>
      </c>
      <c r="E173" t="str">
        <f>VLOOKUP(A173,Datos!$A$2:$H$1084,6,FALSE)</f>
        <v>23.84</v>
      </c>
      <c r="F173" t="str">
        <f>VLOOKUP(A173,Datos!$A$2:$H$1084,7,FALSE)</f>
        <v>0.00</v>
      </c>
      <c r="G173" t="str">
        <f>VLOOKUP(A173,Datos!$A$2:$H$1084,8,FALSE)</f>
        <v>0.04</v>
      </c>
    </row>
    <row r="174" spans="1:7" x14ac:dyDescent="0.3">
      <c r="A174" s="1">
        <v>562359</v>
      </c>
      <c r="B174" t="str">
        <f>VLOOKUP(A174,Datos!$A$2:$H$1084,3,FALSE)</f>
        <v>51.16</v>
      </c>
      <c r="C174" t="str">
        <f>VLOOKUP(A174,Datos!$A$2:$H$1084,4,FALSE)</f>
        <v>0.00</v>
      </c>
      <c r="D174" t="str">
        <f>VLOOKUP(A174,Datos!$A$2:$H$1084,5,FALSE)</f>
        <v>0.17</v>
      </c>
      <c r="E174" t="str">
        <f>VLOOKUP(A174,Datos!$A$2:$H$1084,6,FALSE)</f>
        <v>12.53</v>
      </c>
      <c r="F174" t="str">
        <f>VLOOKUP(A174,Datos!$A$2:$H$1084,7,FALSE)</f>
        <v>0.00</v>
      </c>
      <c r="G174" t="str">
        <f>VLOOKUP(A174,Datos!$A$2:$H$1084,8,FALSE)</f>
        <v>0.02</v>
      </c>
    </row>
    <row r="175" spans="1:7" x14ac:dyDescent="0.3">
      <c r="A175" s="1">
        <v>150570</v>
      </c>
      <c r="B175" t="str">
        <f>VLOOKUP(A175,Datos!$A$2:$H$1084,3,FALSE)</f>
        <v>39.64</v>
      </c>
      <c r="C175" t="str">
        <f>VLOOKUP(A175,Datos!$A$2:$H$1084,4,FALSE)</f>
        <v>0.00</v>
      </c>
      <c r="D175" t="str">
        <f>VLOOKUP(A175,Datos!$A$2:$H$1084,5,FALSE)</f>
        <v>0.51</v>
      </c>
      <c r="E175" t="str">
        <f>VLOOKUP(A175,Datos!$A$2:$H$1084,6,FALSE)</f>
        <v>2.01</v>
      </c>
      <c r="F175" t="str">
        <f>VLOOKUP(A175,Datos!$A$2:$H$1084,7,FALSE)</f>
        <v>0.00</v>
      </c>
      <c r="G175" t="str">
        <f>VLOOKUP(A175,Datos!$A$2:$H$1084,8,FALSE)</f>
        <v>0.02</v>
      </c>
    </row>
    <row r="176" spans="1:7" x14ac:dyDescent="0.3">
      <c r="A176" s="1">
        <v>64308</v>
      </c>
      <c r="B176" t="str">
        <f>VLOOKUP(A176,Datos!$A$2:$H$1084,3,FALSE)</f>
        <v>80.22</v>
      </c>
      <c r="C176" t="str">
        <f>VLOOKUP(A176,Datos!$A$2:$H$1084,4,FALSE)</f>
        <v>0.01</v>
      </c>
      <c r="D176" t="str">
        <f>VLOOKUP(A176,Datos!$A$2:$H$1084,5,FALSE)</f>
        <v>0.03</v>
      </c>
      <c r="E176" t="str">
        <f>VLOOKUP(A176,Datos!$A$2:$H$1084,6,FALSE)</f>
        <v>3.89</v>
      </c>
      <c r="F176" t="str">
        <f>VLOOKUP(A176,Datos!$A$2:$H$1084,7,FALSE)</f>
        <v>0.01</v>
      </c>
      <c r="G176" t="str">
        <f>VLOOKUP(A176,Datos!$A$2:$H$1084,8,FALSE)</f>
        <v>0.01</v>
      </c>
    </row>
    <row r="177" spans="1:7" x14ac:dyDescent="0.3">
      <c r="A177" s="1">
        <v>63002</v>
      </c>
      <c r="B177" t="str">
        <f>VLOOKUP(A177,Datos!$A$2:$H$1084,3,FALSE)</f>
        <v>29.70</v>
      </c>
      <c r="C177" t="str">
        <f>VLOOKUP(A177,Datos!$A$2:$H$1084,4,FALSE)</f>
        <v>0.00</v>
      </c>
      <c r="D177" t="str">
        <f>VLOOKUP(A177,Datos!$A$2:$H$1084,5,FALSE)</f>
        <v>0.06</v>
      </c>
      <c r="E177" t="str">
        <f>VLOOKUP(A177,Datos!$A$2:$H$1084,6,FALSE)</f>
        <v>17.97</v>
      </c>
      <c r="F177" t="str">
        <f>VLOOKUP(A177,Datos!$A$2:$H$1084,7,FALSE)</f>
        <v>0.00</v>
      </c>
      <c r="G177" t="str">
        <f>VLOOKUP(A177,Datos!$A$2:$H$1084,8,FALSE)</f>
        <v>0.02</v>
      </c>
    </row>
    <row r="178" spans="1:7" x14ac:dyDescent="0.3">
      <c r="A178" s="1">
        <v>86739</v>
      </c>
      <c r="B178" t="str">
        <f>VLOOKUP(A178,Datos!$A$2:$H$1084,3,FALSE)</f>
        <v>39.81</v>
      </c>
      <c r="C178" t="str">
        <f>VLOOKUP(A178,Datos!$A$2:$H$1084,4,FALSE)</f>
        <v>0.00</v>
      </c>
      <c r="D178" t="str">
        <f>VLOOKUP(A178,Datos!$A$2:$H$1084,5,FALSE)</f>
        <v>0.22</v>
      </c>
      <c r="E178" t="str">
        <f>VLOOKUP(A178,Datos!$A$2:$H$1084,6,FALSE)</f>
        <v>1.65</v>
      </c>
      <c r="F178" t="str">
        <f>VLOOKUP(A178,Datos!$A$2:$H$1084,7,FALSE)</f>
        <v>0.00</v>
      </c>
      <c r="G178" t="str">
        <f>VLOOKUP(A178,Datos!$A$2:$H$1084,8,FALSE)</f>
        <v>0.02</v>
      </c>
    </row>
    <row r="179" spans="1:7" x14ac:dyDescent="0.3">
      <c r="A179" s="1">
        <v>793152</v>
      </c>
      <c r="B179" t="str">
        <f>VLOOKUP(A179,Datos!$A$2:$H$1084,3,FALSE)</f>
        <v>47.84</v>
      </c>
      <c r="C179" t="str">
        <f>VLOOKUP(A179,Datos!$A$2:$H$1084,4,FALSE)</f>
        <v>0.00</v>
      </c>
      <c r="D179" t="str">
        <f>VLOOKUP(A179,Datos!$A$2:$H$1084,5,FALSE)</f>
        <v>0.63</v>
      </c>
      <c r="E179" t="str">
        <f>VLOOKUP(A179,Datos!$A$2:$H$1084,6,FALSE)</f>
        <v>16.53</v>
      </c>
      <c r="F179" t="str">
        <f>VLOOKUP(A179,Datos!$A$2:$H$1084,7,FALSE)</f>
        <v>0.00</v>
      </c>
      <c r="G179" t="str">
        <f>VLOOKUP(A179,Datos!$A$2:$H$1084,8,FALSE)</f>
        <v>0.08</v>
      </c>
    </row>
    <row r="180" spans="1:7" x14ac:dyDescent="0.3">
      <c r="A180" s="1">
        <v>68189</v>
      </c>
      <c r="B180" t="str">
        <f>VLOOKUP(A180,Datos!$A$2:$H$1084,3,FALSE)</f>
        <v>89.42</v>
      </c>
      <c r="C180" t="str">
        <f>VLOOKUP(A180,Datos!$A$2:$H$1084,4,FALSE)</f>
        <v>0.01</v>
      </c>
      <c r="D180" t="str">
        <f>VLOOKUP(A180,Datos!$A$2:$H$1084,5,FALSE)</f>
        <v>0.30</v>
      </c>
      <c r="E180" t="str">
        <f>VLOOKUP(A180,Datos!$A$2:$H$1084,6,FALSE)</f>
        <v>47.66</v>
      </c>
      <c r="F180" t="str">
        <f>VLOOKUP(A180,Datos!$A$2:$H$1084,7,FALSE)</f>
        <v>0.01</v>
      </c>
      <c r="G180" t="str">
        <f>VLOOKUP(A180,Datos!$A$2:$H$1084,8,FALSE)</f>
        <v>0.06</v>
      </c>
    </row>
    <row r="181" spans="1:7" x14ac:dyDescent="0.3">
      <c r="A181" s="1">
        <v>80011</v>
      </c>
      <c r="B181" t="str">
        <f>VLOOKUP(A181,Datos!$A$2:$H$1084,3,FALSE)</f>
        <v>13.16</v>
      </c>
      <c r="C181" t="str">
        <f>VLOOKUP(A181,Datos!$A$2:$H$1084,4,FALSE)</f>
        <v>0.01</v>
      </c>
      <c r="D181" t="str">
        <f>VLOOKUP(A181,Datos!$A$2:$H$1084,5,FALSE)</f>
        <v>0.01</v>
      </c>
      <c r="E181" t="str">
        <f>VLOOKUP(A181,Datos!$A$2:$H$1084,6,FALSE)</f>
        <v>4.39</v>
      </c>
      <c r="F181" t="str">
        <f>VLOOKUP(A181,Datos!$A$2:$H$1084,7,FALSE)</f>
        <v>0.01</v>
      </c>
      <c r="G181" t="str">
        <f>VLOOKUP(A181,Datos!$A$2:$H$1084,8,FALSE)</f>
        <v>0.01</v>
      </c>
    </row>
    <row r="182" spans="1:7" x14ac:dyDescent="0.3">
      <c r="A182" s="1">
        <v>66492</v>
      </c>
      <c r="B182" t="str">
        <f>VLOOKUP(A182,Datos!$A$2:$H$1084,3,FALSE)</f>
        <v>51.36</v>
      </c>
      <c r="C182" t="str">
        <f>VLOOKUP(A182,Datos!$A$2:$H$1084,4,FALSE)</f>
        <v>0.00</v>
      </c>
      <c r="D182" t="str">
        <f>VLOOKUP(A182,Datos!$A$2:$H$1084,5,FALSE)</f>
        <v>0.09</v>
      </c>
      <c r="E182" t="str">
        <f>VLOOKUP(A182,Datos!$A$2:$H$1084,6,FALSE)</f>
        <v>8.32</v>
      </c>
      <c r="F182" t="str">
        <f>VLOOKUP(A182,Datos!$A$2:$H$1084,7,FALSE)</f>
        <v>0.00</v>
      </c>
      <c r="G182" t="str">
        <f>VLOOKUP(A182,Datos!$A$2:$H$1084,8,FALSE)</f>
        <v>0.01</v>
      </c>
    </row>
    <row r="183" spans="1:7" x14ac:dyDescent="0.3">
      <c r="A183" s="1">
        <v>84518</v>
      </c>
      <c r="B183" t="str">
        <f>VLOOKUP(A183,Datos!$A$2:$H$1084,3,FALSE)</f>
        <v>59.50</v>
      </c>
      <c r="C183" t="str">
        <f>VLOOKUP(A183,Datos!$A$2:$H$1084,4,FALSE)</f>
        <v>0.00</v>
      </c>
      <c r="D183" t="str">
        <f>VLOOKUP(A183,Datos!$A$2:$H$1084,5,FALSE)</f>
        <v>0.24</v>
      </c>
      <c r="E183" t="str">
        <f>VLOOKUP(A183,Datos!$A$2:$H$1084,6,FALSE)</f>
        <v>9.37</v>
      </c>
      <c r="F183" t="str">
        <f>VLOOKUP(A183,Datos!$A$2:$H$1084,7,FALSE)</f>
        <v>0.00</v>
      </c>
      <c r="G183" t="str">
        <f>VLOOKUP(A183,Datos!$A$2:$H$1084,8,FALSE)</f>
        <v>0.04</v>
      </c>
    </row>
    <row r="184" spans="1:7" x14ac:dyDescent="0.3">
      <c r="A184" s="1">
        <v>146578</v>
      </c>
      <c r="B184" t="str">
        <f>VLOOKUP(A184,Datos!$A$2:$H$1084,3,FALSE)</f>
        <v>88.81</v>
      </c>
      <c r="C184" t="str">
        <f>VLOOKUP(A184,Datos!$A$2:$H$1084,4,FALSE)</f>
        <v>0.01</v>
      </c>
      <c r="D184" t="str">
        <f>VLOOKUP(A184,Datos!$A$2:$H$1084,5,FALSE)</f>
        <v>0.58</v>
      </c>
      <c r="E184" t="str">
        <f>VLOOKUP(A184,Datos!$A$2:$H$1084,6,FALSE)</f>
        <v>33.97</v>
      </c>
      <c r="F184" t="str">
        <f>VLOOKUP(A184,Datos!$A$2:$H$1084,7,FALSE)</f>
        <v>0.01</v>
      </c>
      <c r="G184" t="str">
        <f>VLOOKUP(A184,Datos!$A$2:$H$1084,8,FALSE)</f>
        <v>0.07</v>
      </c>
    </row>
    <row r="185" spans="1:7" x14ac:dyDescent="0.3">
      <c r="A185" s="1">
        <v>146371</v>
      </c>
      <c r="B185" t="str">
        <f>VLOOKUP(A185,Datos!$A$2:$H$1084,3,FALSE)</f>
        <v>35.55</v>
      </c>
      <c r="C185" t="str">
        <f>VLOOKUP(A185,Datos!$A$2:$H$1084,4,FALSE)</f>
        <v>0.00</v>
      </c>
      <c r="D185" t="str">
        <f>VLOOKUP(A185,Datos!$A$2:$H$1084,5,FALSE)</f>
        <v>0.09</v>
      </c>
      <c r="E185" t="str">
        <f>VLOOKUP(A185,Datos!$A$2:$H$1084,6,FALSE)</f>
        <v>8.42</v>
      </c>
      <c r="F185" t="str">
        <f>VLOOKUP(A185,Datos!$A$2:$H$1084,7,FALSE)</f>
        <v>0.00</v>
      </c>
      <c r="G185" t="str">
        <f>VLOOKUP(A185,Datos!$A$2:$H$1084,8,FALSE)</f>
        <v>0.02</v>
      </c>
    </row>
    <row r="186" spans="1:7" x14ac:dyDescent="0.3">
      <c r="A186" s="1">
        <v>150508</v>
      </c>
      <c r="B186" t="str">
        <f>VLOOKUP(A186,Datos!$A$2:$H$1084,3,FALSE)</f>
        <v>67.90</v>
      </c>
      <c r="C186" t="str">
        <f>VLOOKUP(A186,Datos!$A$2:$H$1084,4,FALSE)</f>
        <v>0.00</v>
      </c>
      <c r="D186" t="str">
        <f>VLOOKUP(A186,Datos!$A$2:$H$1084,5,FALSE)</f>
        <v>1.51</v>
      </c>
      <c r="E186" t="str">
        <f>VLOOKUP(A186,Datos!$A$2:$H$1084,6,FALSE)</f>
        <v>5.73</v>
      </c>
      <c r="F186" t="str">
        <f>VLOOKUP(A186,Datos!$A$2:$H$1084,7,FALSE)</f>
        <v>0.00</v>
      </c>
      <c r="G186" t="str">
        <f>VLOOKUP(A186,Datos!$A$2:$H$1084,8,FALSE)</f>
        <v>0.07</v>
      </c>
    </row>
    <row r="187" spans="1:7" x14ac:dyDescent="0.3">
      <c r="A187" s="1">
        <v>573956</v>
      </c>
      <c r="B187" t="str">
        <f>VLOOKUP(A187,Datos!$A$2:$H$1084,3,FALSE)</f>
        <v>70.26</v>
      </c>
      <c r="C187" t="str">
        <f>VLOOKUP(A187,Datos!$A$2:$H$1084,4,FALSE)</f>
        <v>0.00</v>
      </c>
      <c r="D187" t="str">
        <f>VLOOKUP(A187,Datos!$A$2:$H$1084,5,FALSE)</f>
        <v>2.07</v>
      </c>
      <c r="E187" t="str">
        <f>VLOOKUP(A187,Datos!$A$2:$H$1084,6,FALSE)</f>
        <v>26.70</v>
      </c>
      <c r="F187" t="str">
        <f>VLOOKUP(A187,Datos!$A$2:$H$1084,7,FALSE)</f>
        <v>0.00</v>
      </c>
      <c r="G187" t="str">
        <f>VLOOKUP(A187,Datos!$A$2:$H$1084,8,FALSE)</f>
        <v>0.23</v>
      </c>
    </row>
    <row r="188" spans="1:7" x14ac:dyDescent="0.3">
      <c r="A188" s="1">
        <v>463458</v>
      </c>
      <c r="B188" t="str">
        <f>VLOOKUP(A188,Datos!$A$2:$H$1084,3,FALSE)</f>
        <v>49.60</v>
      </c>
      <c r="C188" t="str">
        <f>VLOOKUP(A188,Datos!$A$2:$H$1084,4,FALSE)</f>
        <v>0.00</v>
      </c>
      <c r="D188" t="str">
        <f>VLOOKUP(A188,Datos!$A$2:$H$1084,5,FALSE)</f>
        <v>0.25</v>
      </c>
      <c r="E188" t="str">
        <f>VLOOKUP(A188,Datos!$A$2:$H$1084,6,FALSE)</f>
        <v>2.19</v>
      </c>
      <c r="F188" t="str">
        <f>VLOOKUP(A188,Datos!$A$2:$H$1084,7,FALSE)</f>
        <v>0.00</v>
      </c>
      <c r="G188" t="str">
        <f>VLOOKUP(A188,Datos!$A$2:$H$1084,8,FALSE)</f>
        <v>0.02</v>
      </c>
    </row>
    <row r="189" spans="1:7" x14ac:dyDescent="0.3">
      <c r="A189" s="1">
        <v>146248</v>
      </c>
      <c r="B189" t="str">
        <f>VLOOKUP(A189,Datos!$A$2:$H$1084,3,FALSE)</f>
        <v>26.73</v>
      </c>
      <c r="C189" t="str">
        <f>VLOOKUP(A189,Datos!$A$2:$H$1084,4,FALSE)</f>
        <v>0.00</v>
      </c>
      <c r="D189" t="str">
        <f>VLOOKUP(A189,Datos!$A$2:$H$1084,5,FALSE)</f>
        <v>0.06</v>
      </c>
      <c r="E189" t="str">
        <f>VLOOKUP(A189,Datos!$A$2:$H$1084,6,FALSE)</f>
        <v>8.78</v>
      </c>
      <c r="F189" t="str">
        <f>VLOOKUP(A189,Datos!$A$2:$H$1084,7,FALSE)</f>
        <v>0.00</v>
      </c>
      <c r="G189" t="str">
        <f>VLOOKUP(A189,Datos!$A$2:$H$1084,8,FALSE)</f>
        <v>0.02</v>
      </c>
    </row>
    <row r="190" spans="1:7" x14ac:dyDescent="0.3">
      <c r="A190" s="1">
        <v>171266</v>
      </c>
      <c r="B190" t="str">
        <f>VLOOKUP(A190,Datos!$A$2:$H$1084,3,FALSE)</f>
        <v>39.99</v>
      </c>
      <c r="C190" t="str">
        <f>VLOOKUP(A190,Datos!$A$2:$H$1084,4,FALSE)</f>
        <v>0.00</v>
      </c>
      <c r="D190" t="str">
        <f>VLOOKUP(A190,Datos!$A$2:$H$1084,5,FALSE)</f>
        <v>0.19</v>
      </c>
      <c r="E190" t="str">
        <f>VLOOKUP(A190,Datos!$A$2:$H$1084,6,FALSE)</f>
        <v>3.58</v>
      </c>
      <c r="F190" t="str">
        <f>VLOOKUP(A190,Datos!$A$2:$H$1084,7,FALSE)</f>
        <v>0.00</v>
      </c>
      <c r="G190" t="str">
        <f>VLOOKUP(A190,Datos!$A$2:$H$1084,8,FALSE)</f>
        <v>0.00</v>
      </c>
    </row>
    <row r="191" spans="1:7" x14ac:dyDescent="0.3">
      <c r="A191" s="1">
        <v>53263</v>
      </c>
      <c r="B191" t="str">
        <f>VLOOKUP(A191,Datos!$A$2:$H$1084,3,FALSE)</f>
        <v>29.80</v>
      </c>
      <c r="C191" t="str">
        <f>VLOOKUP(A191,Datos!$A$2:$H$1084,4,FALSE)</f>
        <v>0.00</v>
      </c>
      <c r="D191" t="str">
        <f>VLOOKUP(A191,Datos!$A$2:$H$1084,5,FALSE)</f>
        <v>0.13</v>
      </c>
      <c r="E191" t="str">
        <f>VLOOKUP(A191,Datos!$A$2:$H$1084,6,FALSE)</f>
        <v>12.24</v>
      </c>
      <c r="F191" t="str">
        <f>VLOOKUP(A191,Datos!$A$2:$H$1084,7,FALSE)</f>
        <v>0.00</v>
      </c>
      <c r="G191" t="str">
        <f>VLOOKUP(A191,Datos!$A$2:$H$1084,8,FALSE)</f>
        <v>0.02</v>
      </c>
    </row>
    <row r="192" spans="1:7" x14ac:dyDescent="0.3">
      <c r="A192" s="1">
        <v>170064</v>
      </c>
      <c r="B192" t="str">
        <f>VLOOKUP(A192,Datos!$A$2:$H$1084,3,FALSE)</f>
        <v>112.31</v>
      </c>
      <c r="C192" t="str">
        <f>VLOOKUP(A192,Datos!$A$2:$H$1084,4,FALSE)</f>
        <v>0.00</v>
      </c>
      <c r="D192" t="str">
        <f>VLOOKUP(A192,Datos!$A$2:$H$1084,5,FALSE)</f>
        <v>2.02</v>
      </c>
      <c r="E192" t="str">
        <f>VLOOKUP(A192,Datos!$A$2:$H$1084,6,FALSE)</f>
        <v>57.29</v>
      </c>
      <c r="F192" t="str">
        <f>VLOOKUP(A192,Datos!$A$2:$H$1084,7,FALSE)</f>
        <v>0.00</v>
      </c>
      <c r="G192" t="str">
        <f>VLOOKUP(A192,Datos!$A$2:$H$1084,8,FALSE)</f>
        <v>0.23</v>
      </c>
    </row>
    <row r="193" spans="1:7" x14ac:dyDescent="0.3">
      <c r="A193" s="1">
        <v>486836</v>
      </c>
      <c r="B193" t="str">
        <f>VLOOKUP(A193,Datos!$A$2:$H$1084,3,FALSE)</f>
        <v>0.41</v>
      </c>
      <c r="C193" t="str">
        <f>VLOOKUP(A193,Datos!$A$2:$H$1084,4,FALSE)</f>
        <v>0.00</v>
      </c>
      <c r="D193" t="str">
        <f>VLOOKUP(A193,Datos!$A$2:$H$1084,5,FALSE)</f>
        <v>0.00</v>
      </c>
      <c r="E193" t="str">
        <f>VLOOKUP(A193,Datos!$A$2:$H$1084,6,FALSE)</f>
        <v>0.05</v>
      </c>
      <c r="F193" t="str">
        <f>VLOOKUP(A193,Datos!$A$2:$H$1084,7,FALSE)</f>
        <v>0.00</v>
      </c>
      <c r="G193" t="str">
        <f>VLOOKUP(A193,Datos!$A$2:$H$1084,8,FALSE)</f>
        <v>0.00</v>
      </c>
    </row>
    <row r="194" spans="1:7" x14ac:dyDescent="0.3">
      <c r="A194" s="1">
        <v>66878</v>
      </c>
      <c r="B194" t="str">
        <f>VLOOKUP(A194,Datos!$A$2:$H$1084,3,FALSE)</f>
        <v>26.09</v>
      </c>
      <c r="C194" t="str">
        <f>VLOOKUP(A194,Datos!$A$2:$H$1084,4,FALSE)</f>
        <v>0.00</v>
      </c>
      <c r="D194" t="str">
        <f>VLOOKUP(A194,Datos!$A$2:$H$1084,5,FALSE)</f>
        <v>0.01</v>
      </c>
      <c r="E194" t="str">
        <f>VLOOKUP(A194,Datos!$A$2:$H$1084,6,FALSE)</f>
        <v>0.02</v>
      </c>
      <c r="F194" t="str">
        <f>VLOOKUP(A194,Datos!$A$2:$H$1084,7,FALSE)</f>
        <v>0.00</v>
      </c>
      <c r="G194" t="str">
        <f>VLOOKUP(A194,Datos!$A$2:$H$1084,8,FALSE)</f>
        <v>0.00</v>
      </c>
    </row>
    <row r="195" spans="1:7" x14ac:dyDescent="0.3">
      <c r="A195" s="1">
        <v>149020</v>
      </c>
      <c r="B195" t="str">
        <f>VLOOKUP(A195,Datos!$A$2:$H$1084,3,FALSE)</f>
        <v>241.57</v>
      </c>
      <c r="C195" t="str">
        <f>VLOOKUP(A195,Datos!$A$2:$H$1084,4,FALSE)</f>
        <v>0.01</v>
      </c>
      <c r="D195" t="str">
        <f>VLOOKUP(A195,Datos!$A$2:$H$1084,5,FALSE)</f>
        <v>0.73</v>
      </c>
      <c r="E195" t="str">
        <f>VLOOKUP(A195,Datos!$A$2:$H$1084,6,FALSE)</f>
        <v>60.01</v>
      </c>
      <c r="F195" t="str">
        <f>VLOOKUP(A195,Datos!$A$2:$H$1084,7,FALSE)</f>
        <v>0.01</v>
      </c>
      <c r="G195" t="str">
        <f>VLOOKUP(A195,Datos!$A$2:$H$1084,8,FALSE)</f>
        <v>0.06</v>
      </c>
    </row>
    <row r="196" spans="1:7" x14ac:dyDescent="0.3">
      <c r="A196" s="1">
        <v>488350</v>
      </c>
      <c r="B196" t="str">
        <f>VLOOKUP(A196,Datos!$A$2:$H$1084,3,FALSE)</f>
        <v>27.19</v>
      </c>
      <c r="C196" t="str">
        <f>VLOOKUP(A196,Datos!$A$2:$H$1084,4,FALSE)</f>
        <v>0.00</v>
      </c>
      <c r="D196" t="str">
        <f>VLOOKUP(A196,Datos!$A$2:$H$1084,5,FALSE)</f>
        <v>0.08</v>
      </c>
      <c r="E196" t="str">
        <f>VLOOKUP(A196,Datos!$A$2:$H$1084,6,FALSE)</f>
        <v>7.84</v>
      </c>
      <c r="F196" t="str">
        <f>VLOOKUP(A196,Datos!$A$2:$H$1084,7,FALSE)</f>
        <v>0.00</v>
      </c>
      <c r="G196" t="str">
        <f>VLOOKUP(A196,Datos!$A$2:$H$1084,8,FALSE)</f>
        <v>0.01</v>
      </c>
    </row>
    <row r="197" spans="1:7" x14ac:dyDescent="0.3">
      <c r="A197" s="1">
        <v>441433</v>
      </c>
      <c r="B197" t="str">
        <f>VLOOKUP(A197,Datos!$A$2:$H$1084,3,FALSE)</f>
        <v>12.48</v>
      </c>
      <c r="C197" t="str">
        <f>VLOOKUP(A197,Datos!$A$2:$H$1084,4,FALSE)</f>
        <v>0.00</v>
      </c>
      <c r="D197" t="str">
        <f>VLOOKUP(A197,Datos!$A$2:$H$1084,5,FALSE)</f>
        <v>0.02</v>
      </c>
      <c r="E197" t="str">
        <f>VLOOKUP(A197,Datos!$A$2:$H$1084,6,FALSE)</f>
        <v>1.71</v>
      </c>
      <c r="F197" t="str">
        <f>VLOOKUP(A197,Datos!$A$2:$H$1084,7,FALSE)</f>
        <v>0.00</v>
      </c>
      <c r="G197" t="str">
        <f>VLOOKUP(A197,Datos!$A$2:$H$1084,8,FALSE)</f>
        <v>0.01</v>
      </c>
    </row>
    <row r="198" spans="1:7" x14ac:dyDescent="0.3">
      <c r="A198" s="1">
        <v>42627</v>
      </c>
      <c r="B198" t="str">
        <f>VLOOKUP(A198,Datos!$A$2:$H$1084,3,FALSE)</f>
        <v>21.32</v>
      </c>
      <c r="C198" t="str">
        <f>VLOOKUP(A198,Datos!$A$2:$H$1084,4,FALSE)</f>
        <v>0.00</v>
      </c>
      <c r="D198" t="str">
        <f>VLOOKUP(A198,Datos!$A$2:$H$1084,5,FALSE)</f>
        <v>0.02</v>
      </c>
      <c r="E198" t="str">
        <f>VLOOKUP(A198,Datos!$A$2:$H$1084,6,FALSE)</f>
        <v>7.05</v>
      </c>
      <c r="F198" t="str">
        <f>VLOOKUP(A198,Datos!$A$2:$H$1084,7,FALSE)</f>
        <v>0.00</v>
      </c>
      <c r="G198" t="str">
        <f>VLOOKUP(A198,Datos!$A$2:$H$1084,8,FALSE)</f>
        <v>0.01</v>
      </c>
    </row>
    <row r="199" spans="1:7" x14ac:dyDescent="0.3">
      <c r="A199" s="1">
        <v>45942</v>
      </c>
      <c r="B199" t="str">
        <f>VLOOKUP(A199,Datos!$A$2:$H$1084,3,FALSE)</f>
        <v>47.53</v>
      </c>
      <c r="C199" t="str">
        <f>VLOOKUP(A199,Datos!$A$2:$H$1084,4,FALSE)</f>
        <v>0.00</v>
      </c>
      <c r="D199" t="str">
        <f>VLOOKUP(A199,Datos!$A$2:$H$1084,5,FALSE)</f>
        <v>0.17</v>
      </c>
      <c r="E199" t="str">
        <f>VLOOKUP(A199,Datos!$A$2:$H$1084,6,FALSE)</f>
        <v>32.51</v>
      </c>
      <c r="F199" t="str">
        <f>VLOOKUP(A199,Datos!$A$2:$H$1084,7,FALSE)</f>
        <v>0.00</v>
      </c>
      <c r="G199" t="str">
        <f>VLOOKUP(A199,Datos!$A$2:$H$1084,8,FALSE)</f>
        <v>0.02</v>
      </c>
    </row>
    <row r="200" spans="1:7" x14ac:dyDescent="0.3">
      <c r="A200" s="1">
        <v>76410</v>
      </c>
      <c r="B200" t="str">
        <f>VLOOKUP(A200,Datos!$A$2:$H$1084,3,FALSE)</f>
        <v>64.66</v>
      </c>
      <c r="C200" t="str">
        <f>VLOOKUP(A200,Datos!$A$2:$H$1084,4,FALSE)</f>
        <v>0.00</v>
      </c>
      <c r="D200" t="str">
        <f>VLOOKUP(A200,Datos!$A$2:$H$1084,5,FALSE)</f>
        <v>0.16</v>
      </c>
      <c r="E200" t="str">
        <f>VLOOKUP(A200,Datos!$A$2:$H$1084,6,FALSE)</f>
        <v>12.74</v>
      </c>
      <c r="F200" t="str">
        <f>VLOOKUP(A200,Datos!$A$2:$H$1084,7,FALSE)</f>
        <v>0.00</v>
      </c>
      <c r="G200" t="str">
        <f>VLOOKUP(A200,Datos!$A$2:$H$1084,8,FALSE)</f>
        <v>0.02</v>
      </c>
    </row>
    <row r="201" spans="1:7" x14ac:dyDescent="0.3">
      <c r="A201" s="1">
        <v>150891</v>
      </c>
      <c r="B201" t="str">
        <f>VLOOKUP(A201,Datos!$A$2:$H$1084,3,FALSE)</f>
        <v>90.14</v>
      </c>
      <c r="C201" t="str">
        <f>VLOOKUP(A201,Datos!$A$2:$H$1084,4,FALSE)</f>
        <v>0.00</v>
      </c>
      <c r="D201" t="str">
        <f>VLOOKUP(A201,Datos!$A$2:$H$1084,5,FALSE)</f>
        <v>2.02</v>
      </c>
      <c r="E201" t="str">
        <f>VLOOKUP(A201,Datos!$A$2:$H$1084,6,FALSE)</f>
        <v>1.18</v>
      </c>
      <c r="F201" t="str">
        <f>VLOOKUP(A201,Datos!$A$2:$H$1084,7,FALSE)</f>
        <v>0.00</v>
      </c>
      <c r="G201" t="str">
        <f>VLOOKUP(A201,Datos!$A$2:$H$1084,8,FALSE)</f>
        <v>0.00</v>
      </c>
    </row>
    <row r="202" spans="1:7" x14ac:dyDescent="0.3">
      <c r="A202" s="1">
        <v>486676</v>
      </c>
      <c r="B202" t="str">
        <f>VLOOKUP(A202,Datos!$A$2:$H$1084,3,FALSE)</f>
        <v>113.34</v>
      </c>
      <c r="C202" t="str">
        <f>VLOOKUP(A202,Datos!$A$2:$H$1084,4,FALSE)</f>
        <v>0.00</v>
      </c>
      <c r="D202" t="str">
        <f>VLOOKUP(A202,Datos!$A$2:$H$1084,5,FALSE)</f>
        <v>0.46</v>
      </c>
      <c r="E202" t="str">
        <f>VLOOKUP(A202,Datos!$A$2:$H$1084,6,FALSE)</f>
        <v>6.17</v>
      </c>
      <c r="F202" t="str">
        <f>VLOOKUP(A202,Datos!$A$2:$H$1084,7,FALSE)</f>
        <v>0.00</v>
      </c>
      <c r="G202" t="str">
        <f>VLOOKUP(A202,Datos!$A$2:$H$1084,8,FALSE)</f>
        <v>0.03</v>
      </c>
    </row>
    <row r="203" spans="1:7" x14ac:dyDescent="0.3">
      <c r="A203" s="1">
        <v>450719</v>
      </c>
      <c r="B203" t="str">
        <f>VLOOKUP(A203,Datos!$A$2:$H$1084,3,FALSE)</f>
        <v>39.67</v>
      </c>
      <c r="C203" t="str">
        <f>VLOOKUP(A203,Datos!$A$2:$H$1084,4,FALSE)</f>
        <v>0.00</v>
      </c>
      <c r="D203" t="str">
        <f>VLOOKUP(A203,Datos!$A$2:$H$1084,5,FALSE)</f>
        <v>0.18</v>
      </c>
      <c r="E203" t="str">
        <f>VLOOKUP(A203,Datos!$A$2:$H$1084,6,FALSE)</f>
        <v>12.42</v>
      </c>
      <c r="F203" t="str">
        <f>VLOOKUP(A203,Datos!$A$2:$H$1084,7,FALSE)</f>
        <v>0.00</v>
      </c>
      <c r="G203" t="str">
        <f>VLOOKUP(A203,Datos!$A$2:$H$1084,8,FALSE)</f>
        <v>0.03</v>
      </c>
    </row>
    <row r="204" spans="1:7" x14ac:dyDescent="0.3">
      <c r="A204" s="1">
        <v>43603</v>
      </c>
      <c r="B204" t="str">
        <f>VLOOKUP(A204,Datos!$A$2:$H$1084,3,FALSE)</f>
        <v>23.00</v>
      </c>
      <c r="C204" t="str">
        <f>VLOOKUP(A204,Datos!$A$2:$H$1084,4,FALSE)</f>
        <v>0.00</v>
      </c>
      <c r="D204" t="str">
        <f>VLOOKUP(A204,Datos!$A$2:$H$1084,5,FALSE)</f>
        <v>0.00</v>
      </c>
      <c r="E204" t="str">
        <f>VLOOKUP(A204,Datos!$A$2:$H$1084,6,FALSE)</f>
        <v>0.88</v>
      </c>
      <c r="F204" t="str">
        <f>VLOOKUP(A204,Datos!$A$2:$H$1084,7,FALSE)</f>
        <v>0.00</v>
      </c>
      <c r="G204" t="str">
        <f>VLOOKUP(A204,Datos!$A$2:$H$1084,8,FALSE)</f>
        <v>0.00</v>
      </c>
    </row>
    <row r="205" spans="1:7" x14ac:dyDescent="0.3">
      <c r="A205" s="1">
        <v>171290</v>
      </c>
      <c r="B205" t="str">
        <f>VLOOKUP(A205,Datos!$A$2:$H$1084,3,FALSE)</f>
        <v>94.06</v>
      </c>
      <c r="C205" t="str">
        <f>VLOOKUP(A205,Datos!$A$2:$H$1084,4,FALSE)</f>
        <v>0.00</v>
      </c>
      <c r="D205" t="str">
        <f>VLOOKUP(A205,Datos!$A$2:$H$1084,5,FALSE)</f>
        <v>1.31</v>
      </c>
      <c r="E205" t="str">
        <f>VLOOKUP(A205,Datos!$A$2:$H$1084,6,FALSE)</f>
        <v>35.17</v>
      </c>
      <c r="F205" t="str">
        <f>VLOOKUP(A205,Datos!$A$2:$H$1084,7,FALSE)</f>
        <v>0.00</v>
      </c>
      <c r="G205" t="str">
        <f>VLOOKUP(A205,Datos!$A$2:$H$1084,8,FALSE)</f>
        <v>0.13</v>
      </c>
    </row>
    <row r="206" spans="1:7" x14ac:dyDescent="0.3">
      <c r="A206" s="1">
        <v>81751</v>
      </c>
      <c r="B206" t="str">
        <f>VLOOKUP(A206,Datos!$A$2:$H$1084,3,FALSE)</f>
        <v>136.92</v>
      </c>
      <c r="C206" t="str">
        <f>VLOOKUP(A206,Datos!$A$2:$H$1084,4,FALSE)</f>
        <v>0.00</v>
      </c>
      <c r="D206" t="str">
        <f>VLOOKUP(A206,Datos!$A$2:$H$1084,5,FALSE)</f>
        <v>4.03</v>
      </c>
      <c r="E206" t="str">
        <f>VLOOKUP(A206,Datos!$A$2:$H$1084,6,FALSE)</f>
        <v>36.50</v>
      </c>
      <c r="F206" t="str">
        <f>VLOOKUP(A206,Datos!$A$2:$H$1084,7,FALSE)</f>
        <v>0.00</v>
      </c>
      <c r="G206" t="str">
        <f>VLOOKUP(A206,Datos!$A$2:$H$1084,8,FALSE)</f>
        <v>0.46</v>
      </c>
    </row>
    <row r="207" spans="1:7" x14ac:dyDescent="0.3">
      <c r="A207" s="1">
        <v>47564</v>
      </c>
      <c r="B207" t="str">
        <f>VLOOKUP(A207,Datos!$A$2:$H$1084,3,FALSE)</f>
        <v>83.98</v>
      </c>
      <c r="C207" t="str">
        <f>VLOOKUP(A207,Datos!$A$2:$H$1084,4,FALSE)</f>
        <v>0.00</v>
      </c>
      <c r="D207" t="str">
        <f>VLOOKUP(A207,Datos!$A$2:$H$1084,5,FALSE)</f>
        <v>0.44</v>
      </c>
      <c r="E207" t="str">
        <f>VLOOKUP(A207,Datos!$A$2:$H$1084,6,FALSE)</f>
        <v>17.92</v>
      </c>
      <c r="F207" t="str">
        <f>VLOOKUP(A207,Datos!$A$2:$H$1084,7,FALSE)</f>
        <v>0.00</v>
      </c>
      <c r="G207" t="str">
        <f>VLOOKUP(A207,Datos!$A$2:$H$1084,8,FALSE)</f>
        <v>0.06</v>
      </c>
    </row>
    <row r="208" spans="1:7" x14ac:dyDescent="0.3">
      <c r="A208" s="1">
        <v>59496</v>
      </c>
      <c r="B208" t="str">
        <f>VLOOKUP(A208,Datos!$A$2:$H$1084,3,FALSE)</f>
        <v>90.68</v>
      </c>
      <c r="C208" t="str">
        <f>VLOOKUP(A208,Datos!$A$2:$H$1084,4,FALSE)</f>
        <v>0.00</v>
      </c>
      <c r="D208" t="str">
        <f>VLOOKUP(A208,Datos!$A$2:$H$1084,5,FALSE)</f>
        <v>0.74</v>
      </c>
      <c r="E208" t="str">
        <f>VLOOKUP(A208,Datos!$A$2:$H$1084,6,FALSE)</f>
        <v>7.28</v>
      </c>
      <c r="F208" t="str">
        <f>VLOOKUP(A208,Datos!$A$2:$H$1084,7,FALSE)</f>
        <v>0.00</v>
      </c>
      <c r="G208" t="str">
        <f>VLOOKUP(A208,Datos!$A$2:$H$1084,8,FALSE)</f>
        <v>0.08</v>
      </c>
    </row>
    <row r="209" spans="1:7" x14ac:dyDescent="0.3">
      <c r="A209" s="1">
        <v>151254</v>
      </c>
      <c r="B209" t="str">
        <f>VLOOKUP(A209,Datos!$A$2:$H$1084,3,FALSE)</f>
        <v>68.95</v>
      </c>
      <c r="C209" t="str">
        <f>VLOOKUP(A209,Datos!$A$2:$H$1084,4,FALSE)</f>
        <v>0.00</v>
      </c>
      <c r="D209" t="str">
        <f>VLOOKUP(A209,Datos!$A$2:$H$1084,5,FALSE)</f>
        <v>0.30</v>
      </c>
      <c r="E209" t="str">
        <f>VLOOKUP(A209,Datos!$A$2:$H$1084,6,FALSE)</f>
        <v>11.13</v>
      </c>
      <c r="F209" t="str">
        <f>VLOOKUP(A209,Datos!$A$2:$H$1084,7,FALSE)</f>
        <v>0.00</v>
      </c>
      <c r="G209" t="str">
        <f>VLOOKUP(A209,Datos!$A$2:$H$1084,8,FALSE)</f>
        <v>0.03</v>
      </c>
    </row>
    <row r="210" spans="1:7" x14ac:dyDescent="0.3">
      <c r="A210" s="1">
        <v>52433</v>
      </c>
      <c r="B210" t="str">
        <f>VLOOKUP(A210,Datos!$A$2:$H$1084,3,FALSE)</f>
        <v>45.04</v>
      </c>
      <c r="C210" t="str">
        <f>VLOOKUP(A210,Datos!$A$2:$H$1084,4,FALSE)</f>
        <v>0.00</v>
      </c>
      <c r="D210" t="str">
        <f>VLOOKUP(A210,Datos!$A$2:$H$1084,5,FALSE)</f>
        <v>0.15</v>
      </c>
      <c r="E210" t="str">
        <f>VLOOKUP(A210,Datos!$A$2:$H$1084,6,FALSE)</f>
        <v>9.07</v>
      </c>
      <c r="F210" t="str">
        <f>VLOOKUP(A210,Datos!$A$2:$H$1084,7,FALSE)</f>
        <v>0.00</v>
      </c>
      <c r="G210" t="str">
        <f>VLOOKUP(A210,Datos!$A$2:$H$1084,8,FALSE)</f>
        <v>0.02</v>
      </c>
    </row>
    <row r="211" spans="1:7" x14ac:dyDescent="0.3">
      <c r="A211" s="1">
        <v>61423</v>
      </c>
      <c r="B211" t="str">
        <f>VLOOKUP(A211,Datos!$A$2:$H$1084,3,FALSE)</f>
        <v>42.03</v>
      </c>
      <c r="C211" t="str">
        <f>VLOOKUP(A211,Datos!$A$2:$H$1084,4,FALSE)</f>
        <v>0.01</v>
      </c>
      <c r="D211" t="str">
        <f>VLOOKUP(A211,Datos!$A$2:$H$1084,5,FALSE)</f>
        <v>0.51</v>
      </c>
      <c r="E211" t="str">
        <f>VLOOKUP(A211,Datos!$A$2:$H$1084,6,FALSE)</f>
        <v>18.03</v>
      </c>
      <c r="F211" t="str">
        <f>VLOOKUP(A211,Datos!$A$2:$H$1084,7,FALSE)</f>
        <v>0.01</v>
      </c>
      <c r="G211" t="str">
        <f>VLOOKUP(A211,Datos!$A$2:$H$1084,8,FALSE)</f>
        <v>0.08</v>
      </c>
    </row>
    <row r="212" spans="1:7" x14ac:dyDescent="0.3">
      <c r="A212" s="1">
        <v>463528</v>
      </c>
      <c r="B212" t="str">
        <f>VLOOKUP(A212,Datos!$A$2:$H$1084,3,FALSE)</f>
        <v>15.57</v>
      </c>
      <c r="C212" t="str">
        <f>VLOOKUP(A212,Datos!$A$2:$H$1084,4,FALSE)</f>
        <v>0.00</v>
      </c>
      <c r="D212" t="str">
        <f>VLOOKUP(A212,Datos!$A$2:$H$1084,5,FALSE)</f>
        <v>0.03</v>
      </c>
      <c r="E212" t="str">
        <f>VLOOKUP(A212,Datos!$A$2:$H$1084,6,FALSE)</f>
        <v>1.12</v>
      </c>
      <c r="F212" t="str">
        <f>VLOOKUP(A212,Datos!$A$2:$H$1084,7,FALSE)</f>
        <v>0.00</v>
      </c>
      <c r="G212" t="str">
        <f>VLOOKUP(A212,Datos!$A$2:$H$1084,8,FALSE)</f>
        <v>0.01</v>
      </c>
    </row>
    <row r="213" spans="1:7" x14ac:dyDescent="0.3">
      <c r="A213" s="1">
        <v>447208</v>
      </c>
      <c r="B213" t="str">
        <f>VLOOKUP(A213,Datos!$A$2:$H$1084,3,FALSE)</f>
        <v>55.26</v>
      </c>
      <c r="C213" t="str">
        <f>VLOOKUP(A213,Datos!$A$2:$H$1084,4,FALSE)</f>
        <v>0.00</v>
      </c>
      <c r="D213" t="str">
        <f>VLOOKUP(A213,Datos!$A$2:$H$1084,5,FALSE)</f>
        <v>0.39</v>
      </c>
      <c r="E213" t="str">
        <f>VLOOKUP(A213,Datos!$A$2:$H$1084,6,FALSE)</f>
        <v>8.70</v>
      </c>
      <c r="F213" t="str">
        <f>VLOOKUP(A213,Datos!$A$2:$H$1084,7,FALSE)</f>
        <v>0.00</v>
      </c>
      <c r="G213" t="str">
        <f>VLOOKUP(A213,Datos!$A$2:$H$1084,8,FALSE)</f>
        <v>0.04</v>
      </c>
    </row>
    <row r="214" spans="1:7" x14ac:dyDescent="0.3">
      <c r="A214" s="1">
        <v>160630</v>
      </c>
      <c r="B214" t="str">
        <f>VLOOKUP(A214,Datos!$A$2:$H$1084,3,FALSE)</f>
        <v>79.75</v>
      </c>
      <c r="C214" t="str">
        <f>VLOOKUP(A214,Datos!$A$2:$H$1084,4,FALSE)</f>
        <v>0.00</v>
      </c>
      <c r="D214" t="str">
        <f>VLOOKUP(A214,Datos!$A$2:$H$1084,5,FALSE)</f>
        <v>0.32</v>
      </c>
      <c r="E214" t="str">
        <f>VLOOKUP(A214,Datos!$A$2:$H$1084,6,FALSE)</f>
        <v>5.19</v>
      </c>
      <c r="F214" t="str">
        <f>VLOOKUP(A214,Datos!$A$2:$H$1084,7,FALSE)</f>
        <v>0.00</v>
      </c>
      <c r="G214" t="str">
        <f>VLOOKUP(A214,Datos!$A$2:$H$1084,8,FALSE)</f>
        <v>0.03</v>
      </c>
    </row>
    <row r="215" spans="1:7" x14ac:dyDescent="0.3">
      <c r="A215" s="1">
        <v>84542</v>
      </c>
      <c r="B215" t="str">
        <f>VLOOKUP(A215,Datos!$A$2:$H$1084,3,FALSE)</f>
        <v>50.01</v>
      </c>
      <c r="C215" t="str">
        <f>VLOOKUP(A215,Datos!$A$2:$H$1084,4,FALSE)</f>
        <v>0.00</v>
      </c>
      <c r="D215" t="str">
        <f>VLOOKUP(A215,Datos!$A$2:$H$1084,5,FALSE)</f>
        <v>0.04</v>
      </c>
      <c r="E215" t="str">
        <f>VLOOKUP(A215,Datos!$A$2:$H$1084,6,FALSE)</f>
        <v>6.34</v>
      </c>
      <c r="F215" t="str">
        <f>VLOOKUP(A215,Datos!$A$2:$H$1084,7,FALSE)</f>
        <v>0.00</v>
      </c>
      <c r="G215" t="str">
        <f>VLOOKUP(A215,Datos!$A$2:$H$1084,8,FALSE)</f>
        <v>0.01</v>
      </c>
    </row>
    <row r="216" spans="1:7" x14ac:dyDescent="0.3">
      <c r="A216" s="1">
        <v>67646</v>
      </c>
      <c r="B216" t="str">
        <f>VLOOKUP(A216,Datos!$A$2:$H$1084,3,FALSE)</f>
        <v>47.58</v>
      </c>
      <c r="C216" t="str">
        <f>VLOOKUP(A216,Datos!$A$2:$H$1084,4,FALSE)</f>
        <v>0.00</v>
      </c>
      <c r="D216" t="str">
        <f>VLOOKUP(A216,Datos!$A$2:$H$1084,5,FALSE)</f>
        <v>0.04</v>
      </c>
      <c r="E216" t="str">
        <f>VLOOKUP(A216,Datos!$A$2:$H$1084,6,FALSE)</f>
        <v>1.97</v>
      </c>
      <c r="F216" t="str">
        <f>VLOOKUP(A216,Datos!$A$2:$H$1084,7,FALSE)</f>
        <v>0.00</v>
      </c>
      <c r="G216" t="str">
        <f>VLOOKUP(A216,Datos!$A$2:$H$1084,8,FALSE)</f>
        <v>0.01</v>
      </c>
    </row>
    <row r="217" spans="1:7" x14ac:dyDescent="0.3">
      <c r="A217" s="1">
        <v>51626</v>
      </c>
      <c r="B217" t="str">
        <f>VLOOKUP(A217,Datos!$A$2:$H$1084,3,FALSE)</f>
        <v>54.71</v>
      </c>
      <c r="C217" t="str">
        <f>VLOOKUP(A217,Datos!$A$2:$H$1084,4,FALSE)</f>
        <v>0.00</v>
      </c>
      <c r="D217" t="str">
        <f>VLOOKUP(A217,Datos!$A$2:$H$1084,5,FALSE)</f>
        <v>1.41</v>
      </c>
      <c r="E217" t="str">
        <f>VLOOKUP(A217,Datos!$A$2:$H$1084,6,FALSE)</f>
        <v>16.94</v>
      </c>
      <c r="F217" t="str">
        <f>VLOOKUP(A217,Datos!$A$2:$H$1084,7,FALSE)</f>
        <v>0.00</v>
      </c>
      <c r="G217" t="str">
        <f>VLOOKUP(A217,Datos!$A$2:$H$1084,8,FALSE)</f>
        <v>0.19</v>
      </c>
    </row>
    <row r="218" spans="1:7" x14ac:dyDescent="0.3">
      <c r="A218" s="1">
        <v>566729</v>
      </c>
      <c r="B218" t="str">
        <f>VLOOKUP(A218,Datos!$A$2:$H$1084,3,FALSE)</f>
        <v>88.61</v>
      </c>
      <c r="C218" t="str">
        <f>VLOOKUP(A218,Datos!$A$2:$H$1084,4,FALSE)</f>
        <v>0.00</v>
      </c>
      <c r="D218" t="str">
        <f>VLOOKUP(A218,Datos!$A$2:$H$1084,5,FALSE)</f>
        <v>0.70</v>
      </c>
      <c r="E218" t="str">
        <f>VLOOKUP(A218,Datos!$A$2:$H$1084,6,FALSE)</f>
        <v>26.31</v>
      </c>
      <c r="F218" t="str">
        <f>VLOOKUP(A218,Datos!$A$2:$H$1084,7,FALSE)</f>
        <v>0.00</v>
      </c>
      <c r="G218" t="str">
        <f>VLOOKUP(A218,Datos!$A$2:$H$1084,8,FALSE)</f>
        <v>0.06</v>
      </c>
    </row>
    <row r="219" spans="1:7" x14ac:dyDescent="0.3">
      <c r="A219" s="1">
        <v>566705</v>
      </c>
      <c r="B219" t="str">
        <f>VLOOKUP(A219,Datos!$A$2:$H$1084,3,FALSE)</f>
        <v>33.99</v>
      </c>
      <c r="C219" t="str">
        <f>VLOOKUP(A219,Datos!$A$2:$H$1084,4,FALSE)</f>
        <v>0.00</v>
      </c>
      <c r="D219" t="str">
        <f>VLOOKUP(A219,Datos!$A$2:$H$1084,5,FALSE)</f>
        <v>0.19</v>
      </c>
      <c r="E219" t="str">
        <f>VLOOKUP(A219,Datos!$A$2:$H$1084,6,FALSE)</f>
        <v>80.67</v>
      </c>
      <c r="F219" t="str">
        <f>VLOOKUP(A219,Datos!$A$2:$H$1084,7,FALSE)</f>
        <v>0.00</v>
      </c>
      <c r="G219" t="str">
        <f>VLOOKUP(A219,Datos!$A$2:$H$1084,8,FALSE)</f>
        <v>0.05</v>
      </c>
    </row>
    <row r="220" spans="1:7" x14ac:dyDescent="0.3">
      <c r="A220" s="1">
        <v>459767</v>
      </c>
      <c r="B220" t="str">
        <f>VLOOKUP(A220,Datos!$A$2:$H$1084,3,FALSE)</f>
        <v>85.93</v>
      </c>
      <c r="C220" t="str">
        <f>VLOOKUP(A220,Datos!$A$2:$H$1084,4,FALSE)</f>
        <v>0.00</v>
      </c>
      <c r="D220" t="str">
        <f>VLOOKUP(A220,Datos!$A$2:$H$1084,5,FALSE)</f>
        <v>0.60</v>
      </c>
      <c r="E220" t="str">
        <f>VLOOKUP(A220,Datos!$A$2:$H$1084,6,FALSE)</f>
        <v>17.62</v>
      </c>
      <c r="F220" t="str">
        <f>VLOOKUP(A220,Datos!$A$2:$H$1084,7,FALSE)</f>
        <v>0.00</v>
      </c>
      <c r="G220" t="str">
        <f>VLOOKUP(A220,Datos!$A$2:$H$1084,8,FALSE)</f>
        <v>0.06</v>
      </c>
    </row>
    <row r="221" spans="1:7" x14ac:dyDescent="0.3">
      <c r="A221" s="1">
        <v>603519</v>
      </c>
      <c r="B221" t="str">
        <f>VLOOKUP(A221,Datos!$A$2:$H$1084,3,FALSE)</f>
        <v>111.49</v>
      </c>
      <c r="C221" t="str">
        <f>VLOOKUP(A221,Datos!$A$2:$H$1084,4,FALSE)</f>
        <v>0.00</v>
      </c>
      <c r="D221" t="str">
        <f>VLOOKUP(A221,Datos!$A$2:$H$1084,5,FALSE)</f>
        <v>1.88</v>
      </c>
      <c r="E221" t="str">
        <f>VLOOKUP(A221,Datos!$A$2:$H$1084,6,FALSE)</f>
        <v>5.37</v>
      </c>
      <c r="F221" t="str">
        <f>VLOOKUP(A221,Datos!$A$2:$H$1084,7,FALSE)</f>
        <v>0.00</v>
      </c>
      <c r="G221" t="str">
        <f>VLOOKUP(A221,Datos!$A$2:$H$1084,8,FALSE)</f>
        <v>0.04</v>
      </c>
    </row>
    <row r="222" spans="1:7" x14ac:dyDescent="0.3">
      <c r="A222" s="1">
        <v>42463</v>
      </c>
      <c r="B222" t="str">
        <f>VLOOKUP(A222,Datos!$A$2:$H$1084,3,FALSE)</f>
        <v>65.44</v>
      </c>
      <c r="C222" t="str">
        <f>VLOOKUP(A222,Datos!$A$2:$H$1084,4,FALSE)</f>
        <v>0.00</v>
      </c>
      <c r="D222" t="str">
        <f>VLOOKUP(A222,Datos!$A$2:$H$1084,5,FALSE)</f>
        <v>0.35</v>
      </c>
      <c r="E222" t="str">
        <f>VLOOKUP(A222,Datos!$A$2:$H$1084,6,FALSE)</f>
        <v>14.45</v>
      </c>
      <c r="F222" t="str">
        <f>VLOOKUP(A222,Datos!$A$2:$H$1084,7,FALSE)</f>
        <v>0.00</v>
      </c>
      <c r="G222" t="str">
        <f>VLOOKUP(A222,Datos!$A$2:$H$1084,8,FALSE)</f>
        <v>0.05</v>
      </c>
    </row>
    <row r="223" spans="1:7" x14ac:dyDescent="0.3">
      <c r="A223" s="1">
        <v>155370</v>
      </c>
      <c r="B223" t="str">
        <f>VLOOKUP(A223,Datos!$A$2:$H$1084,3,FALSE)</f>
        <v>31.67</v>
      </c>
      <c r="C223" t="str">
        <f>VLOOKUP(A223,Datos!$A$2:$H$1084,4,FALSE)</f>
        <v>0.00</v>
      </c>
      <c r="D223" t="str">
        <f>VLOOKUP(A223,Datos!$A$2:$H$1084,5,FALSE)</f>
        <v>0.08</v>
      </c>
      <c r="E223" t="str">
        <f>VLOOKUP(A223,Datos!$A$2:$H$1084,6,FALSE)</f>
        <v>3.66</v>
      </c>
      <c r="F223" t="str">
        <f>VLOOKUP(A223,Datos!$A$2:$H$1084,7,FALSE)</f>
        <v>0.00</v>
      </c>
      <c r="G223" t="str">
        <f>VLOOKUP(A223,Datos!$A$2:$H$1084,8,FALSE)</f>
        <v>0.01</v>
      </c>
    </row>
    <row r="224" spans="1:7" x14ac:dyDescent="0.3">
      <c r="A224" s="1">
        <v>52517</v>
      </c>
      <c r="B224" t="str">
        <f>VLOOKUP(A224,Datos!$A$2:$H$1084,3,FALSE)</f>
        <v>42.40</v>
      </c>
      <c r="C224" t="str">
        <f>VLOOKUP(A224,Datos!$A$2:$H$1084,4,FALSE)</f>
        <v>0.00</v>
      </c>
      <c r="D224" t="str">
        <f>VLOOKUP(A224,Datos!$A$2:$H$1084,5,FALSE)</f>
        <v>0.92</v>
      </c>
      <c r="E224" t="str">
        <f>VLOOKUP(A224,Datos!$A$2:$H$1084,6,FALSE)</f>
        <v>9.45</v>
      </c>
      <c r="F224" t="str">
        <f>VLOOKUP(A224,Datos!$A$2:$H$1084,7,FALSE)</f>
        <v>0.00</v>
      </c>
      <c r="G224" t="str">
        <f>VLOOKUP(A224,Datos!$A$2:$H$1084,8,FALSE)</f>
        <v>0.11</v>
      </c>
    </row>
    <row r="225" spans="1:7" x14ac:dyDescent="0.3">
      <c r="A225" s="1">
        <v>169579</v>
      </c>
      <c r="B225" t="str">
        <f>VLOOKUP(A225,Datos!$A$2:$H$1084,3,FALSE)</f>
        <v>14.95</v>
      </c>
      <c r="C225" t="str">
        <f>VLOOKUP(A225,Datos!$A$2:$H$1084,4,FALSE)</f>
        <v>0.00</v>
      </c>
      <c r="D225" t="str">
        <f>VLOOKUP(A225,Datos!$A$2:$H$1084,5,FALSE)</f>
        <v>0.01</v>
      </c>
      <c r="E225" t="str">
        <f>VLOOKUP(A225,Datos!$A$2:$H$1084,6,FALSE)</f>
        <v>2.40</v>
      </c>
      <c r="F225" t="str">
        <f>VLOOKUP(A225,Datos!$A$2:$H$1084,7,FALSE)</f>
        <v>0.00</v>
      </c>
      <c r="G225" t="str">
        <f>VLOOKUP(A225,Datos!$A$2:$H$1084,8,FALSE)</f>
        <v>0.00</v>
      </c>
    </row>
    <row r="226" spans="1:7" x14ac:dyDescent="0.3">
      <c r="A226" s="1">
        <v>48912</v>
      </c>
      <c r="B226" t="str">
        <f>VLOOKUP(A226,Datos!$A$2:$H$1084,3,FALSE)</f>
        <v>49.22</v>
      </c>
      <c r="C226" t="str">
        <f>VLOOKUP(A226,Datos!$A$2:$H$1084,4,FALSE)</f>
        <v>0.00</v>
      </c>
      <c r="D226" t="str">
        <f>VLOOKUP(A226,Datos!$A$2:$H$1084,5,FALSE)</f>
        <v>0.70</v>
      </c>
      <c r="E226" t="str">
        <f>VLOOKUP(A226,Datos!$A$2:$H$1084,6,FALSE)</f>
        <v>17.95</v>
      </c>
      <c r="F226" t="str">
        <f>VLOOKUP(A226,Datos!$A$2:$H$1084,7,FALSE)</f>
        <v>0.00</v>
      </c>
      <c r="G226" t="str">
        <f>VLOOKUP(A226,Datos!$A$2:$H$1084,8,FALSE)</f>
        <v>0.07</v>
      </c>
    </row>
    <row r="227" spans="1:7" x14ac:dyDescent="0.3">
      <c r="A227" s="1">
        <v>148030</v>
      </c>
      <c r="B227" t="str">
        <f>VLOOKUP(A227,Datos!$A$2:$H$1084,3,FALSE)</f>
        <v>33.56</v>
      </c>
      <c r="C227" t="str">
        <f>VLOOKUP(A227,Datos!$A$2:$H$1084,4,FALSE)</f>
        <v>0.00</v>
      </c>
      <c r="D227" t="str">
        <f>VLOOKUP(A227,Datos!$A$2:$H$1084,5,FALSE)</f>
        <v>0.06</v>
      </c>
      <c r="E227" t="str">
        <f>VLOOKUP(A227,Datos!$A$2:$H$1084,6,FALSE)</f>
        <v>5.69</v>
      </c>
      <c r="F227" t="str">
        <f>VLOOKUP(A227,Datos!$A$2:$H$1084,7,FALSE)</f>
        <v>0.00</v>
      </c>
      <c r="G227" t="str">
        <f>VLOOKUP(A227,Datos!$A$2:$H$1084,8,FALSE)</f>
        <v>0.01</v>
      </c>
    </row>
    <row r="228" spans="1:7" x14ac:dyDescent="0.3">
      <c r="A228" s="1">
        <v>62408</v>
      </c>
      <c r="B228" t="str">
        <f>VLOOKUP(A228,Datos!$A$2:$H$1084,3,FALSE)</f>
        <v>80.07</v>
      </c>
      <c r="C228" t="str">
        <f>VLOOKUP(A228,Datos!$A$2:$H$1084,4,FALSE)</f>
        <v>0.00</v>
      </c>
      <c r="D228" t="str">
        <f>VLOOKUP(A228,Datos!$A$2:$H$1084,5,FALSE)</f>
        <v>0.26</v>
      </c>
      <c r="E228" t="str">
        <f>VLOOKUP(A228,Datos!$A$2:$H$1084,6,FALSE)</f>
        <v>12.48</v>
      </c>
      <c r="F228" t="str">
        <f>VLOOKUP(A228,Datos!$A$2:$H$1084,7,FALSE)</f>
        <v>0.00</v>
      </c>
      <c r="G228" t="str">
        <f>VLOOKUP(A228,Datos!$A$2:$H$1084,8,FALSE)</f>
        <v>0.05</v>
      </c>
    </row>
    <row r="229" spans="1:7" x14ac:dyDescent="0.3">
      <c r="A229" s="1">
        <v>44495</v>
      </c>
      <c r="B229" t="str">
        <f>VLOOKUP(A229,Datos!$A$2:$H$1084,3,FALSE)</f>
        <v>22.04</v>
      </c>
      <c r="C229" t="str">
        <f>VLOOKUP(A229,Datos!$A$2:$H$1084,4,FALSE)</f>
        <v>0.00</v>
      </c>
      <c r="D229" t="str">
        <f>VLOOKUP(A229,Datos!$A$2:$H$1084,5,FALSE)</f>
        <v>0.02</v>
      </c>
      <c r="E229" t="str">
        <f>VLOOKUP(A229,Datos!$A$2:$H$1084,6,FALSE)</f>
        <v>2.15</v>
      </c>
      <c r="F229" t="str">
        <f>VLOOKUP(A229,Datos!$A$2:$H$1084,7,FALSE)</f>
        <v>0.00</v>
      </c>
      <c r="G229" t="str">
        <f>VLOOKUP(A229,Datos!$A$2:$H$1084,8,FALSE)</f>
        <v>0.01</v>
      </c>
    </row>
    <row r="230" spans="1:7" x14ac:dyDescent="0.3">
      <c r="A230" s="1">
        <v>454859</v>
      </c>
      <c r="B230" t="str">
        <f>VLOOKUP(A230,Datos!$A$2:$H$1084,3,FALSE)</f>
        <v>66.49</v>
      </c>
      <c r="C230" t="str">
        <f>VLOOKUP(A230,Datos!$A$2:$H$1084,4,FALSE)</f>
        <v>0.00</v>
      </c>
      <c r="D230" t="str">
        <f>VLOOKUP(A230,Datos!$A$2:$H$1084,5,FALSE)</f>
        <v>0.12</v>
      </c>
      <c r="E230" t="str">
        <f>VLOOKUP(A230,Datos!$A$2:$H$1084,6,FALSE)</f>
        <v>8.62</v>
      </c>
      <c r="F230" t="str">
        <f>VLOOKUP(A230,Datos!$A$2:$H$1084,7,FALSE)</f>
        <v>0.00</v>
      </c>
      <c r="G230" t="str">
        <f>VLOOKUP(A230,Datos!$A$2:$H$1084,8,FALSE)</f>
        <v>0.02</v>
      </c>
    </row>
    <row r="231" spans="1:7" x14ac:dyDescent="0.3">
      <c r="A231" s="1">
        <v>486619</v>
      </c>
      <c r="B231" t="str">
        <f>VLOOKUP(A231,Datos!$A$2:$H$1084,3,FALSE)</f>
        <v>35.48</v>
      </c>
      <c r="C231" t="str">
        <f>VLOOKUP(A231,Datos!$A$2:$H$1084,4,FALSE)</f>
        <v>0.00</v>
      </c>
      <c r="D231" t="str">
        <f>VLOOKUP(A231,Datos!$A$2:$H$1084,5,FALSE)</f>
        <v>0.23</v>
      </c>
      <c r="E231" t="str">
        <f>VLOOKUP(A231,Datos!$A$2:$H$1084,6,FALSE)</f>
        <v>9.91</v>
      </c>
      <c r="F231" t="str">
        <f>VLOOKUP(A231,Datos!$A$2:$H$1084,7,FALSE)</f>
        <v>0.00</v>
      </c>
      <c r="G231" t="str">
        <f>VLOOKUP(A231,Datos!$A$2:$H$1084,8,FALSE)</f>
        <v>0.03</v>
      </c>
    </row>
    <row r="232" spans="1:7" x14ac:dyDescent="0.3">
      <c r="A232" s="1">
        <v>459135</v>
      </c>
      <c r="B232" t="str">
        <f>VLOOKUP(A232,Datos!$A$2:$H$1084,3,FALSE)</f>
        <v>19.16</v>
      </c>
      <c r="C232" t="str">
        <f>VLOOKUP(A232,Datos!$A$2:$H$1084,4,FALSE)</f>
        <v>0.00</v>
      </c>
      <c r="D232" t="str">
        <f>VLOOKUP(A232,Datos!$A$2:$H$1084,5,FALSE)</f>
        <v>0.12</v>
      </c>
      <c r="E232" t="str">
        <f>VLOOKUP(A232,Datos!$A$2:$H$1084,6,FALSE)</f>
        <v>3.97</v>
      </c>
      <c r="F232" t="str">
        <f>VLOOKUP(A232,Datos!$A$2:$H$1084,7,FALSE)</f>
        <v>0.00</v>
      </c>
      <c r="G232" t="str">
        <f>VLOOKUP(A232,Datos!$A$2:$H$1084,8,FALSE)</f>
        <v>0.01</v>
      </c>
    </row>
    <row r="233" spans="1:7" x14ac:dyDescent="0.3">
      <c r="A233" s="1">
        <v>74010</v>
      </c>
      <c r="B233" t="str">
        <f>VLOOKUP(A233,Datos!$A$2:$H$1084,3,FALSE)</f>
        <v>143.82</v>
      </c>
      <c r="C233" t="str">
        <f>VLOOKUP(A233,Datos!$A$2:$H$1084,4,FALSE)</f>
        <v>0.01</v>
      </c>
      <c r="D233" t="str">
        <f>VLOOKUP(A233,Datos!$A$2:$H$1084,5,FALSE)</f>
        <v>3.84</v>
      </c>
      <c r="E233" t="str">
        <f>VLOOKUP(A233,Datos!$A$2:$H$1084,6,FALSE)</f>
        <v>25.07</v>
      </c>
      <c r="F233" t="str">
        <f>VLOOKUP(A233,Datos!$A$2:$H$1084,7,FALSE)</f>
        <v>0.00</v>
      </c>
      <c r="G233" t="str">
        <f>VLOOKUP(A233,Datos!$A$2:$H$1084,8,FALSE)</f>
        <v>0.57</v>
      </c>
    </row>
    <row r="234" spans="1:7" x14ac:dyDescent="0.3">
      <c r="A234" s="1">
        <v>58859</v>
      </c>
      <c r="B234" t="str">
        <f>VLOOKUP(A234,Datos!$A$2:$H$1084,3,FALSE)</f>
        <v>83.46</v>
      </c>
      <c r="C234" t="str">
        <f>VLOOKUP(A234,Datos!$A$2:$H$1084,4,FALSE)</f>
        <v>0.00</v>
      </c>
      <c r="D234" t="str">
        <f>VLOOKUP(A234,Datos!$A$2:$H$1084,5,FALSE)</f>
        <v>0.89</v>
      </c>
      <c r="E234" t="str">
        <f>VLOOKUP(A234,Datos!$A$2:$H$1084,6,FALSE)</f>
        <v>13.58</v>
      </c>
      <c r="F234" t="str">
        <f>VLOOKUP(A234,Datos!$A$2:$H$1084,7,FALSE)</f>
        <v>0.00</v>
      </c>
      <c r="G234" t="str">
        <f>VLOOKUP(A234,Datos!$A$2:$H$1084,8,FALSE)</f>
        <v>0.14</v>
      </c>
    </row>
    <row r="235" spans="1:7" x14ac:dyDescent="0.3">
      <c r="A235" s="1">
        <v>167349</v>
      </c>
      <c r="B235" t="str">
        <f>VLOOKUP(A235,Datos!$A$2:$H$1084,3,FALSE)</f>
        <v>50.18</v>
      </c>
      <c r="C235" t="str">
        <f>VLOOKUP(A235,Datos!$A$2:$H$1084,4,FALSE)</f>
        <v>0.00</v>
      </c>
      <c r="D235" t="str">
        <f>VLOOKUP(A235,Datos!$A$2:$H$1084,5,FALSE)</f>
        <v>0.22</v>
      </c>
      <c r="E235" t="str">
        <f>VLOOKUP(A235,Datos!$A$2:$H$1084,6,FALSE)</f>
        <v>19.49</v>
      </c>
      <c r="F235" t="str">
        <f>VLOOKUP(A235,Datos!$A$2:$H$1084,7,FALSE)</f>
        <v>0.00</v>
      </c>
      <c r="G235" t="str">
        <f>VLOOKUP(A235,Datos!$A$2:$H$1084,8,FALSE)</f>
        <v>0.03</v>
      </c>
    </row>
    <row r="236" spans="1:7" x14ac:dyDescent="0.3">
      <c r="A236" s="1">
        <v>62489</v>
      </c>
      <c r="B236" t="str">
        <f>VLOOKUP(A236,Datos!$A$2:$H$1084,3,FALSE)</f>
        <v>25.71</v>
      </c>
      <c r="C236" t="str">
        <f>VLOOKUP(A236,Datos!$A$2:$H$1084,4,FALSE)</f>
        <v>0.00</v>
      </c>
      <c r="D236" t="str">
        <f>VLOOKUP(A236,Datos!$A$2:$H$1084,5,FALSE)</f>
        <v>0.16</v>
      </c>
      <c r="E236" t="str">
        <f>VLOOKUP(A236,Datos!$A$2:$H$1084,6,FALSE)</f>
        <v>9.24</v>
      </c>
      <c r="F236" t="str">
        <f>VLOOKUP(A236,Datos!$A$2:$H$1084,7,FALSE)</f>
        <v>0.00</v>
      </c>
      <c r="G236" t="str">
        <f>VLOOKUP(A236,Datos!$A$2:$H$1084,8,FALSE)</f>
        <v>0.02</v>
      </c>
    </row>
    <row r="237" spans="1:7" x14ac:dyDescent="0.3">
      <c r="A237" s="1">
        <v>93457</v>
      </c>
      <c r="B237" t="str">
        <f>VLOOKUP(A237,Datos!$A$2:$H$1084,3,FALSE)</f>
        <v>71.46</v>
      </c>
      <c r="C237" t="str">
        <f>VLOOKUP(A237,Datos!$A$2:$H$1084,4,FALSE)</f>
        <v>0.00</v>
      </c>
      <c r="D237" t="str">
        <f>VLOOKUP(A237,Datos!$A$2:$H$1084,5,FALSE)</f>
        <v>0.06</v>
      </c>
      <c r="E237" t="str">
        <f>VLOOKUP(A237,Datos!$A$2:$H$1084,6,FALSE)</f>
        <v>4.65</v>
      </c>
      <c r="F237" t="str">
        <f>VLOOKUP(A237,Datos!$A$2:$H$1084,7,FALSE)</f>
        <v>0.00</v>
      </c>
      <c r="G237" t="str">
        <f>VLOOKUP(A237,Datos!$A$2:$H$1084,8,FALSE)</f>
        <v>0.01</v>
      </c>
    </row>
    <row r="238" spans="1:7" x14ac:dyDescent="0.3">
      <c r="A238" s="1">
        <v>59383</v>
      </c>
      <c r="B238" t="str">
        <f>VLOOKUP(A238,Datos!$A$2:$H$1084,3,FALSE)</f>
        <v>43.46</v>
      </c>
      <c r="C238" t="str">
        <f>VLOOKUP(A238,Datos!$A$2:$H$1084,4,FALSE)</f>
        <v>0.00</v>
      </c>
      <c r="D238" t="str">
        <f>VLOOKUP(A238,Datos!$A$2:$H$1084,5,FALSE)</f>
        <v>0.53</v>
      </c>
      <c r="E238" t="str">
        <f>VLOOKUP(A238,Datos!$A$2:$H$1084,6,FALSE)</f>
        <v>10.43</v>
      </c>
      <c r="F238" t="str">
        <f>VLOOKUP(A238,Datos!$A$2:$H$1084,7,FALSE)</f>
        <v>0.00</v>
      </c>
      <c r="G238" t="str">
        <f>VLOOKUP(A238,Datos!$A$2:$H$1084,8,FALSE)</f>
        <v>0.03</v>
      </c>
    </row>
    <row r="239" spans="1:7" x14ac:dyDescent="0.3">
      <c r="A239" s="2">
        <v>78367</v>
      </c>
      <c r="B239" t="str">
        <f>VLOOKUP(A239,Datos!$A$2:$H$1084,3,FALSE)</f>
        <v>90.34</v>
      </c>
      <c r="C239" t="str">
        <f>VLOOKUP(A239,Datos!$A$2:$H$1084,4,FALSE)</f>
        <v>0.00</v>
      </c>
      <c r="D239" t="str">
        <f>VLOOKUP(A239,Datos!$A$2:$H$1084,5,FALSE)</f>
        <v>0.57</v>
      </c>
      <c r="E239" t="str">
        <f>VLOOKUP(A239,Datos!$A$2:$H$1084,6,FALSE)</f>
        <v>4.91</v>
      </c>
      <c r="F239" t="str">
        <f>VLOOKUP(A239,Datos!$A$2:$H$1084,7,FALSE)</f>
        <v>0.00</v>
      </c>
      <c r="G239" t="str">
        <f>VLOOKUP(A239,Datos!$A$2:$H$1084,8,FALSE)</f>
        <v>0.03</v>
      </c>
    </row>
    <row r="240" spans="1:7" x14ac:dyDescent="0.3">
      <c r="A240" s="1">
        <v>47719</v>
      </c>
      <c r="B240" t="str">
        <f>VLOOKUP(A240,Datos!$A$2:$H$1084,3,FALSE)</f>
        <v>58.22</v>
      </c>
      <c r="C240" t="str">
        <f>VLOOKUP(A240,Datos!$A$2:$H$1084,4,FALSE)</f>
        <v>0.00</v>
      </c>
      <c r="D240" t="str">
        <f>VLOOKUP(A240,Datos!$A$2:$H$1084,5,FALSE)</f>
        <v>0.43</v>
      </c>
      <c r="E240" t="str">
        <f>VLOOKUP(A240,Datos!$A$2:$H$1084,6,FALSE)</f>
        <v>10.01</v>
      </c>
      <c r="F240" t="str">
        <f>VLOOKUP(A240,Datos!$A$2:$H$1084,7,FALSE)</f>
        <v>0.00</v>
      </c>
      <c r="G240" t="str">
        <f>VLOOKUP(A240,Datos!$A$2:$H$1084,8,FALSE)</f>
        <v>0.05</v>
      </c>
    </row>
    <row r="241" spans="1:7" x14ac:dyDescent="0.3">
      <c r="A241" s="1">
        <v>159090</v>
      </c>
      <c r="B241" t="str">
        <f>VLOOKUP(A241,Datos!$A$2:$H$1084,3,FALSE)</f>
        <v>33.84</v>
      </c>
      <c r="C241" t="str">
        <f>VLOOKUP(A241,Datos!$A$2:$H$1084,4,FALSE)</f>
        <v>0.00</v>
      </c>
      <c r="D241" t="str">
        <f>VLOOKUP(A241,Datos!$A$2:$H$1084,5,FALSE)</f>
        <v>0.07</v>
      </c>
      <c r="E241" t="str">
        <f>VLOOKUP(A241,Datos!$A$2:$H$1084,6,FALSE)</f>
        <v>42.38</v>
      </c>
      <c r="F241" t="str">
        <f>VLOOKUP(A241,Datos!$A$2:$H$1084,7,FALSE)</f>
        <v>0.00</v>
      </c>
      <c r="G241" t="str">
        <f>VLOOKUP(A241,Datos!$A$2:$H$1084,8,FALSE)</f>
        <v>0.05</v>
      </c>
    </row>
    <row r="242" spans="1:7" x14ac:dyDescent="0.3">
      <c r="A242" s="1">
        <v>170691</v>
      </c>
      <c r="B242" t="str">
        <f>VLOOKUP(A242,Datos!$A$2:$H$1084,3,FALSE)</f>
        <v>52.02</v>
      </c>
      <c r="C242" t="str">
        <f>VLOOKUP(A242,Datos!$A$2:$H$1084,4,FALSE)</f>
        <v>0.00</v>
      </c>
      <c r="D242" t="str">
        <f>VLOOKUP(A242,Datos!$A$2:$H$1084,5,FALSE)</f>
        <v>1.87</v>
      </c>
      <c r="E242" t="str">
        <f>VLOOKUP(A242,Datos!$A$2:$H$1084,6,FALSE)</f>
        <v>16.00</v>
      </c>
      <c r="F242" t="str">
        <f>VLOOKUP(A242,Datos!$A$2:$H$1084,7,FALSE)</f>
        <v>0.00</v>
      </c>
      <c r="G242" t="str">
        <f>VLOOKUP(A242,Datos!$A$2:$H$1084,8,FALSE)</f>
        <v>0.02</v>
      </c>
    </row>
    <row r="243" spans="1:7" x14ac:dyDescent="0.3">
      <c r="A243" s="1">
        <v>84523</v>
      </c>
      <c r="B243" t="str">
        <f>VLOOKUP(A243,Datos!$A$2:$H$1084,3,FALSE)</f>
        <v>46.05</v>
      </c>
      <c r="C243" t="str">
        <f>VLOOKUP(A243,Datos!$A$2:$H$1084,4,FALSE)</f>
        <v>0.00</v>
      </c>
      <c r="D243" t="str">
        <f>VLOOKUP(A243,Datos!$A$2:$H$1084,5,FALSE)</f>
        <v>0.03</v>
      </c>
      <c r="E243" t="str">
        <f>VLOOKUP(A243,Datos!$A$2:$H$1084,6,FALSE)</f>
        <v>7.56</v>
      </c>
      <c r="F243" t="str">
        <f>VLOOKUP(A243,Datos!$A$2:$H$1084,7,FALSE)</f>
        <v>0.00</v>
      </c>
      <c r="G243" t="str">
        <f>VLOOKUP(A243,Datos!$A$2:$H$1084,8,FALSE)</f>
        <v>0.01</v>
      </c>
    </row>
    <row r="244" spans="1:7" x14ac:dyDescent="0.3">
      <c r="A244" s="1">
        <v>170511</v>
      </c>
      <c r="B244" t="str">
        <f>VLOOKUP(A244,Datos!$A$2:$H$1084,3,FALSE)</f>
        <v>50.49</v>
      </c>
      <c r="C244" t="str">
        <f>VLOOKUP(A244,Datos!$A$2:$H$1084,4,FALSE)</f>
        <v>0.01</v>
      </c>
      <c r="D244" t="str">
        <f>VLOOKUP(A244,Datos!$A$2:$H$1084,5,FALSE)</f>
        <v>0.09</v>
      </c>
      <c r="E244" t="str">
        <f>VLOOKUP(A244,Datos!$A$2:$H$1084,6,FALSE)</f>
        <v>2.64</v>
      </c>
      <c r="F244" t="str">
        <f>VLOOKUP(A244,Datos!$A$2:$H$1084,7,FALSE)</f>
        <v>0.01</v>
      </c>
      <c r="G244" t="str">
        <f>VLOOKUP(A244,Datos!$A$2:$H$1084,8,FALSE)</f>
        <v>0.01</v>
      </c>
    </row>
    <row r="245" spans="1:7" x14ac:dyDescent="0.3">
      <c r="A245" s="1">
        <v>47700</v>
      </c>
      <c r="B245" t="str">
        <f>VLOOKUP(A245,Datos!$A$2:$H$1084,3,FALSE)</f>
        <v>137.53</v>
      </c>
      <c r="C245" t="str">
        <f>VLOOKUP(A245,Datos!$A$2:$H$1084,4,FALSE)</f>
        <v>0.00</v>
      </c>
      <c r="D245" t="str">
        <f>VLOOKUP(A245,Datos!$A$2:$H$1084,5,FALSE)</f>
        <v>12.36</v>
      </c>
      <c r="E245" t="str">
        <f>VLOOKUP(A245,Datos!$A$2:$H$1084,6,FALSE)</f>
        <v>92.10</v>
      </c>
      <c r="F245" t="str">
        <f>VLOOKUP(A245,Datos!$A$2:$H$1084,7,FALSE)</f>
        <v>0.00</v>
      </c>
      <c r="G245" t="str">
        <f>VLOOKUP(A245,Datos!$A$2:$H$1084,8,FALSE)</f>
        <v>1.62</v>
      </c>
    </row>
    <row r="246" spans="1:7" x14ac:dyDescent="0.3">
      <c r="A246" s="1">
        <v>462835</v>
      </c>
      <c r="B246" t="str">
        <f>VLOOKUP(A246,Datos!$A$2:$H$1084,3,FALSE)</f>
        <v>44.12</v>
      </c>
      <c r="C246" t="str">
        <f>VLOOKUP(A246,Datos!$A$2:$H$1084,4,FALSE)</f>
        <v>0.00</v>
      </c>
      <c r="D246" t="str">
        <f>VLOOKUP(A246,Datos!$A$2:$H$1084,5,FALSE)</f>
        <v>0.14</v>
      </c>
      <c r="E246" t="str">
        <f>VLOOKUP(A246,Datos!$A$2:$H$1084,6,FALSE)</f>
        <v>2.28</v>
      </c>
      <c r="F246" t="str">
        <f>VLOOKUP(A246,Datos!$A$2:$H$1084,7,FALSE)</f>
        <v>0.00</v>
      </c>
      <c r="G246" t="str">
        <f>VLOOKUP(A246,Datos!$A$2:$H$1084,8,FALSE)</f>
        <v>0.02</v>
      </c>
    </row>
    <row r="247" spans="1:7" x14ac:dyDescent="0.3">
      <c r="A247" s="1">
        <v>149666</v>
      </c>
      <c r="B247" t="str">
        <f>VLOOKUP(A247,Datos!$A$2:$H$1084,3,FALSE)</f>
        <v>46.54</v>
      </c>
      <c r="C247" t="str">
        <f>VLOOKUP(A247,Datos!$A$2:$H$1084,4,FALSE)</f>
        <v>0.00</v>
      </c>
      <c r="D247" t="str">
        <f>VLOOKUP(A247,Datos!$A$2:$H$1084,5,FALSE)</f>
        <v>0.39</v>
      </c>
      <c r="E247" t="str">
        <f>VLOOKUP(A247,Datos!$A$2:$H$1084,6,FALSE)</f>
        <v>17.68</v>
      </c>
      <c r="F247" t="str">
        <f>VLOOKUP(A247,Datos!$A$2:$H$1084,7,FALSE)</f>
        <v>0.00</v>
      </c>
      <c r="G247" t="str">
        <f>VLOOKUP(A247,Datos!$A$2:$H$1084,8,FALSE)</f>
        <v>0.06</v>
      </c>
    </row>
    <row r="248" spans="1:7" x14ac:dyDescent="0.3">
      <c r="A248" s="1">
        <v>53965</v>
      </c>
      <c r="B248" t="str">
        <f>VLOOKUP(A248,Datos!$A$2:$H$1084,3,FALSE)</f>
        <v>39.88</v>
      </c>
      <c r="C248" t="str">
        <f>VLOOKUP(A248,Datos!$A$2:$H$1084,4,FALSE)</f>
        <v>0.00</v>
      </c>
      <c r="D248" t="str">
        <f>VLOOKUP(A248,Datos!$A$2:$H$1084,5,FALSE)</f>
        <v>0.38</v>
      </c>
      <c r="E248" t="str">
        <f>VLOOKUP(A248,Datos!$A$2:$H$1084,6,FALSE)</f>
        <v>8.61</v>
      </c>
      <c r="F248" t="str">
        <f>VLOOKUP(A248,Datos!$A$2:$H$1084,7,FALSE)</f>
        <v>0.00</v>
      </c>
      <c r="G248" t="str">
        <f>VLOOKUP(A248,Datos!$A$2:$H$1084,8,FALSE)</f>
        <v>0.03</v>
      </c>
    </row>
    <row r="249" spans="1:7" x14ac:dyDescent="0.3">
      <c r="A249" s="1">
        <v>151857</v>
      </c>
      <c r="B249" t="str">
        <f>VLOOKUP(A249,Datos!$A$2:$H$1084,3,FALSE)</f>
        <v>92.44</v>
      </c>
      <c r="C249" t="str">
        <f>VLOOKUP(A249,Datos!$A$2:$H$1084,4,FALSE)</f>
        <v>0.01</v>
      </c>
      <c r="D249" t="str">
        <f>VLOOKUP(A249,Datos!$A$2:$H$1084,5,FALSE)</f>
        <v>1.12</v>
      </c>
      <c r="E249" t="str">
        <f>VLOOKUP(A249,Datos!$A$2:$H$1084,6,FALSE)</f>
        <v>29.33</v>
      </c>
      <c r="F249" t="str">
        <f>VLOOKUP(A249,Datos!$A$2:$H$1084,7,FALSE)</f>
        <v>0.01</v>
      </c>
      <c r="G249" t="str">
        <f>VLOOKUP(A249,Datos!$A$2:$H$1084,8,FALSE)</f>
        <v>0.17</v>
      </c>
    </row>
    <row r="250" spans="1:7" x14ac:dyDescent="0.3">
      <c r="A250" s="1">
        <v>44749</v>
      </c>
      <c r="B250" t="str">
        <f>VLOOKUP(A250,Datos!$A$2:$H$1084,3,FALSE)</f>
        <v>53.04</v>
      </c>
      <c r="C250" t="str">
        <f>VLOOKUP(A250,Datos!$A$2:$H$1084,4,FALSE)</f>
        <v>0.00</v>
      </c>
      <c r="D250" t="str">
        <f>VLOOKUP(A250,Datos!$A$2:$H$1084,5,FALSE)</f>
        <v>0.75</v>
      </c>
      <c r="E250" t="str">
        <f>VLOOKUP(A250,Datos!$A$2:$H$1084,6,FALSE)</f>
        <v>9.55</v>
      </c>
      <c r="F250" t="str">
        <f>VLOOKUP(A250,Datos!$A$2:$H$1084,7,FALSE)</f>
        <v>0.01</v>
      </c>
      <c r="G250" t="str">
        <f>VLOOKUP(A250,Datos!$A$2:$H$1084,8,FALSE)</f>
        <v>0.08</v>
      </c>
    </row>
    <row r="251" spans="1:7" x14ac:dyDescent="0.3">
      <c r="A251" s="1">
        <v>147573</v>
      </c>
      <c r="B251" t="str">
        <f>VLOOKUP(A251,Datos!$A$2:$H$1084,3,FALSE)</f>
        <v>27.41</v>
      </c>
      <c r="C251" t="str">
        <f>VLOOKUP(A251,Datos!$A$2:$H$1084,4,FALSE)</f>
        <v>0.00</v>
      </c>
      <c r="D251" t="str">
        <f>VLOOKUP(A251,Datos!$A$2:$H$1084,5,FALSE)</f>
        <v>0.02</v>
      </c>
      <c r="E251" t="str">
        <f>VLOOKUP(A251,Datos!$A$2:$H$1084,6,FALSE)</f>
        <v>1.41</v>
      </c>
      <c r="F251" t="str">
        <f>VLOOKUP(A251,Datos!$A$2:$H$1084,7,FALSE)</f>
        <v>0.00</v>
      </c>
      <c r="G251" t="str">
        <f>VLOOKUP(A251,Datos!$A$2:$H$1084,8,FALSE)</f>
        <v>0.00</v>
      </c>
    </row>
    <row r="252" spans="1:7" x14ac:dyDescent="0.3">
      <c r="A252" s="1">
        <v>550021</v>
      </c>
      <c r="B252" t="str">
        <f>VLOOKUP(A252,Datos!$A$2:$H$1084,3,FALSE)</f>
        <v>4.05</v>
      </c>
      <c r="C252" t="str">
        <f>VLOOKUP(A252,Datos!$A$2:$H$1084,4,FALSE)</f>
        <v>0.00</v>
      </c>
      <c r="D252" t="str">
        <f>VLOOKUP(A252,Datos!$A$2:$H$1084,5,FALSE)</f>
        <v>0.01</v>
      </c>
      <c r="E252" t="str">
        <f>VLOOKUP(A252,Datos!$A$2:$H$1084,6,FALSE)</f>
        <v>3.46</v>
      </c>
      <c r="F252" t="str">
        <f>VLOOKUP(A252,Datos!$A$2:$H$1084,7,FALSE)</f>
        <v>0.00</v>
      </c>
      <c r="G252" t="str">
        <f>VLOOKUP(A252,Datos!$A$2:$H$1084,8,FALSE)</f>
        <v>0.02</v>
      </c>
    </row>
    <row r="253" spans="1:7" x14ac:dyDescent="0.3">
      <c r="A253" s="1">
        <v>489552</v>
      </c>
      <c r="B253" t="str">
        <f>VLOOKUP(A253,Datos!$A$2:$H$1084,3,FALSE)</f>
        <v>20.36</v>
      </c>
      <c r="C253" t="str">
        <f>VLOOKUP(A253,Datos!$A$2:$H$1084,4,FALSE)</f>
        <v>0.00</v>
      </c>
      <c r="D253" t="str">
        <f>VLOOKUP(A253,Datos!$A$2:$H$1084,5,FALSE)</f>
        <v>0.03</v>
      </c>
      <c r="E253" t="str">
        <f>VLOOKUP(A253,Datos!$A$2:$H$1084,6,FALSE)</f>
        <v>2.86</v>
      </c>
      <c r="F253" t="str">
        <f>VLOOKUP(A253,Datos!$A$2:$H$1084,7,FALSE)</f>
        <v>0.00</v>
      </c>
      <c r="G253" t="str">
        <f>VLOOKUP(A253,Datos!$A$2:$H$1084,8,FALSE)</f>
        <v>0.01</v>
      </c>
    </row>
    <row r="254" spans="1:7" x14ac:dyDescent="0.3">
      <c r="A254" s="1">
        <v>441046</v>
      </c>
      <c r="B254" t="str">
        <f>VLOOKUP(A254,Datos!$A$2:$H$1084,3,FALSE)</f>
        <v>69.06</v>
      </c>
      <c r="C254" t="str">
        <f>VLOOKUP(A254,Datos!$A$2:$H$1084,4,FALSE)</f>
        <v>0.00</v>
      </c>
      <c r="D254" t="str">
        <f>VLOOKUP(A254,Datos!$A$2:$H$1084,5,FALSE)</f>
        <v>0.16</v>
      </c>
      <c r="E254" t="str">
        <f>VLOOKUP(A254,Datos!$A$2:$H$1084,6,FALSE)</f>
        <v>2.56</v>
      </c>
      <c r="F254" t="str">
        <f>VLOOKUP(A254,Datos!$A$2:$H$1084,7,FALSE)</f>
        <v>0.00</v>
      </c>
      <c r="G254" t="str">
        <f>VLOOKUP(A254,Datos!$A$2:$H$1084,8,FALSE)</f>
        <v>0.02</v>
      </c>
    </row>
    <row r="255" spans="1:7" x14ac:dyDescent="0.3">
      <c r="A255" s="1">
        <v>45621</v>
      </c>
      <c r="B255" t="str">
        <f>VLOOKUP(A255,Datos!$A$2:$H$1084,3,FALSE)</f>
        <v>40.62</v>
      </c>
      <c r="C255" t="str">
        <f>VLOOKUP(A255,Datos!$A$2:$H$1084,4,FALSE)</f>
        <v>0.00</v>
      </c>
      <c r="D255" t="str">
        <f>VLOOKUP(A255,Datos!$A$2:$H$1084,5,FALSE)</f>
        <v>0.38</v>
      </c>
      <c r="E255" t="str">
        <f>VLOOKUP(A255,Datos!$A$2:$H$1084,6,FALSE)</f>
        <v>4.95</v>
      </c>
      <c r="F255" t="str">
        <f>VLOOKUP(A255,Datos!$A$2:$H$1084,7,FALSE)</f>
        <v>0.00</v>
      </c>
      <c r="G255" t="str">
        <f>VLOOKUP(A255,Datos!$A$2:$H$1084,8,FALSE)</f>
        <v>0.03</v>
      </c>
    </row>
    <row r="256" spans="1:7" x14ac:dyDescent="0.3">
      <c r="A256" s="1">
        <v>48276</v>
      </c>
      <c r="B256" t="str">
        <f>VLOOKUP(A256,Datos!$A$2:$H$1084,3,FALSE)</f>
        <v>72.43</v>
      </c>
      <c r="C256" t="str">
        <f>VLOOKUP(A256,Datos!$A$2:$H$1084,4,FALSE)</f>
        <v>0.00</v>
      </c>
      <c r="D256" t="str">
        <f>VLOOKUP(A256,Datos!$A$2:$H$1084,5,FALSE)</f>
        <v>0.36</v>
      </c>
      <c r="E256" t="str">
        <f>VLOOKUP(A256,Datos!$A$2:$H$1084,6,FALSE)</f>
        <v>26.49</v>
      </c>
      <c r="F256" t="str">
        <f>VLOOKUP(A256,Datos!$A$2:$H$1084,7,FALSE)</f>
        <v>0.00</v>
      </c>
      <c r="G256" t="str">
        <f>VLOOKUP(A256,Datos!$A$2:$H$1084,8,FALSE)</f>
        <v>0.04</v>
      </c>
    </row>
    <row r="257" spans="1:7" x14ac:dyDescent="0.3">
      <c r="A257" s="1">
        <v>50778</v>
      </c>
      <c r="B257" t="str">
        <f>VLOOKUP(A257,Datos!$A$2:$H$1084,3,FALSE)</f>
        <v>29.83</v>
      </c>
      <c r="C257" t="str">
        <f>VLOOKUP(A257,Datos!$A$2:$H$1084,4,FALSE)</f>
        <v>0.00</v>
      </c>
      <c r="D257" t="str">
        <f>VLOOKUP(A257,Datos!$A$2:$H$1084,5,FALSE)</f>
        <v>0.15</v>
      </c>
      <c r="E257" t="str">
        <f>VLOOKUP(A257,Datos!$A$2:$H$1084,6,FALSE)</f>
        <v>6.49</v>
      </c>
      <c r="F257" t="str">
        <f>VLOOKUP(A257,Datos!$A$2:$H$1084,7,FALSE)</f>
        <v>0.00</v>
      </c>
      <c r="G257" t="str">
        <f>VLOOKUP(A257,Datos!$A$2:$H$1084,8,FALSE)</f>
        <v>0.02</v>
      </c>
    </row>
    <row r="258" spans="1:7" x14ac:dyDescent="0.3">
      <c r="A258" s="1">
        <v>59397</v>
      </c>
      <c r="B258" t="str">
        <f>VLOOKUP(A258,Datos!$A$2:$H$1084,3,FALSE)</f>
        <v>54.48</v>
      </c>
      <c r="C258" t="str">
        <f>VLOOKUP(A258,Datos!$A$2:$H$1084,4,FALSE)</f>
        <v>0.00</v>
      </c>
      <c r="D258" t="str">
        <f>VLOOKUP(A258,Datos!$A$2:$H$1084,5,FALSE)</f>
        <v>0.11</v>
      </c>
      <c r="E258" t="str">
        <f>VLOOKUP(A258,Datos!$A$2:$H$1084,6,FALSE)</f>
        <v>8.62</v>
      </c>
      <c r="F258" t="str">
        <f>VLOOKUP(A258,Datos!$A$2:$H$1084,7,FALSE)</f>
        <v>0.00</v>
      </c>
      <c r="G258" t="str">
        <f>VLOOKUP(A258,Datos!$A$2:$H$1084,8,FALSE)</f>
        <v>0.02</v>
      </c>
    </row>
    <row r="259" spans="1:7" x14ac:dyDescent="0.3">
      <c r="A259" s="1">
        <v>452501</v>
      </c>
      <c r="B259" t="str">
        <f>VLOOKUP(A259,Datos!$A$2:$H$1084,3,FALSE)</f>
        <v>58.14</v>
      </c>
      <c r="C259" t="str">
        <f>VLOOKUP(A259,Datos!$A$2:$H$1084,4,FALSE)</f>
        <v>0.00</v>
      </c>
      <c r="D259" t="str">
        <f>VLOOKUP(A259,Datos!$A$2:$H$1084,5,FALSE)</f>
        <v>0.26</v>
      </c>
      <c r="E259" t="str">
        <f>VLOOKUP(A259,Datos!$A$2:$H$1084,6,FALSE)</f>
        <v>5.47</v>
      </c>
      <c r="F259" t="str">
        <f>VLOOKUP(A259,Datos!$A$2:$H$1084,7,FALSE)</f>
        <v>0.00</v>
      </c>
      <c r="G259" t="str">
        <f>VLOOKUP(A259,Datos!$A$2:$H$1084,8,FALSE)</f>
        <v>0.02</v>
      </c>
    </row>
    <row r="260" spans="1:7" x14ac:dyDescent="0.3">
      <c r="A260" s="1">
        <v>59774</v>
      </c>
      <c r="B260" t="str">
        <f>VLOOKUP(A260,Datos!$A$2:$H$1084,3,FALSE)</f>
        <v>18.19</v>
      </c>
      <c r="C260" t="str">
        <f>VLOOKUP(A260,Datos!$A$2:$H$1084,4,FALSE)</f>
        <v>0.01</v>
      </c>
      <c r="D260" t="str">
        <f>VLOOKUP(A260,Datos!$A$2:$H$1084,5,FALSE)</f>
        <v>0.09</v>
      </c>
      <c r="E260" t="str">
        <f>VLOOKUP(A260,Datos!$A$2:$H$1084,6,FALSE)</f>
        <v>6.54</v>
      </c>
      <c r="F260" t="str">
        <f>VLOOKUP(A260,Datos!$A$2:$H$1084,7,FALSE)</f>
        <v>0.01</v>
      </c>
      <c r="G260" t="str">
        <f>VLOOKUP(A260,Datos!$A$2:$H$1084,8,FALSE)</f>
        <v>0.02</v>
      </c>
    </row>
    <row r="261" spans="1:7" x14ac:dyDescent="0.3">
      <c r="A261" s="1">
        <v>463359</v>
      </c>
      <c r="B261" t="str">
        <f>VLOOKUP(A261,Datos!$A$2:$H$1084,3,FALSE)</f>
        <v>52.38</v>
      </c>
      <c r="C261" t="str">
        <f>VLOOKUP(A261,Datos!$A$2:$H$1084,4,FALSE)</f>
        <v>0.00</v>
      </c>
      <c r="D261" t="str">
        <f>VLOOKUP(A261,Datos!$A$2:$H$1084,5,FALSE)</f>
        <v>1.45</v>
      </c>
      <c r="E261" t="str">
        <f>VLOOKUP(A261,Datos!$A$2:$H$1084,6,FALSE)</f>
        <v>25.05</v>
      </c>
      <c r="F261" t="str">
        <f>VLOOKUP(A261,Datos!$A$2:$H$1084,7,FALSE)</f>
        <v>0.00</v>
      </c>
      <c r="G261" t="str">
        <f>VLOOKUP(A261,Datos!$A$2:$H$1084,8,FALSE)</f>
        <v>0.11</v>
      </c>
    </row>
    <row r="262" spans="1:7" x14ac:dyDescent="0.3">
      <c r="A262" s="1">
        <v>159146</v>
      </c>
      <c r="B262" t="str">
        <f>VLOOKUP(A262,Datos!$A$2:$H$1084,3,FALSE)</f>
        <v>140.54</v>
      </c>
      <c r="C262" t="str">
        <f>VLOOKUP(A262,Datos!$A$2:$H$1084,4,FALSE)</f>
        <v>0.00</v>
      </c>
      <c r="D262" t="str">
        <f>VLOOKUP(A262,Datos!$A$2:$H$1084,5,FALSE)</f>
        <v>0.37</v>
      </c>
      <c r="E262" t="str">
        <f>VLOOKUP(A262,Datos!$A$2:$H$1084,6,FALSE)</f>
        <v>6.60</v>
      </c>
      <c r="F262" t="str">
        <f>VLOOKUP(A262,Datos!$A$2:$H$1084,7,FALSE)</f>
        <v>0.00</v>
      </c>
      <c r="G262" t="str">
        <f>VLOOKUP(A262,Datos!$A$2:$H$1084,8,FALSE)</f>
        <v>0.02</v>
      </c>
    </row>
    <row r="263" spans="1:7" x14ac:dyDescent="0.3">
      <c r="A263" s="1">
        <v>465141</v>
      </c>
      <c r="B263" t="str">
        <f>VLOOKUP(A263,Datos!$A$2:$H$1084,3,FALSE)</f>
        <v>55.42</v>
      </c>
      <c r="C263" t="str">
        <f>VLOOKUP(A263,Datos!$A$2:$H$1084,4,FALSE)</f>
        <v>0.00</v>
      </c>
      <c r="D263" t="str">
        <f>VLOOKUP(A263,Datos!$A$2:$H$1084,5,FALSE)</f>
        <v>0.09</v>
      </c>
      <c r="E263" t="str">
        <f>VLOOKUP(A263,Datos!$A$2:$H$1084,6,FALSE)</f>
        <v>9.18</v>
      </c>
      <c r="F263" t="str">
        <f>VLOOKUP(A263,Datos!$A$2:$H$1084,7,FALSE)</f>
        <v>0.00</v>
      </c>
      <c r="G263" t="str">
        <f>VLOOKUP(A263,Datos!$A$2:$H$1084,8,FALSE)</f>
        <v>0.01</v>
      </c>
    </row>
    <row r="264" spans="1:7" x14ac:dyDescent="0.3">
      <c r="A264" s="1">
        <v>541588</v>
      </c>
      <c r="B264" t="str">
        <f>VLOOKUP(A264,Datos!$A$2:$H$1084,3,FALSE)</f>
        <v>106.12</v>
      </c>
      <c r="C264" t="str">
        <f>VLOOKUP(A264,Datos!$A$2:$H$1084,4,FALSE)</f>
        <v>0.00</v>
      </c>
      <c r="D264" t="str">
        <f>VLOOKUP(A264,Datos!$A$2:$H$1084,5,FALSE)</f>
        <v>0.67</v>
      </c>
      <c r="E264" t="str">
        <f>VLOOKUP(A264,Datos!$A$2:$H$1084,6,FALSE)</f>
        <v>22.45</v>
      </c>
      <c r="F264" t="str">
        <f>VLOOKUP(A264,Datos!$A$2:$H$1084,7,FALSE)</f>
        <v>0.00</v>
      </c>
      <c r="G264" t="str">
        <f>VLOOKUP(A264,Datos!$A$2:$H$1084,8,FALSE)</f>
        <v>0.06</v>
      </c>
    </row>
    <row r="265" spans="1:7" x14ac:dyDescent="0.3">
      <c r="A265" s="1">
        <v>457532</v>
      </c>
      <c r="B265" t="str">
        <f>VLOOKUP(A265,Datos!$A$2:$H$1084,3,FALSE)</f>
        <v>66.69</v>
      </c>
      <c r="C265" t="str">
        <f>VLOOKUP(A265,Datos!$A$2:$H$1084,4,FALSE)</f>
        <v>0.00</v>
      </c>
      <c r="D265" t="str">
        <f>VLOOKUP(A265,Datos!$A$2:$H$1084,5,FALSE)</f>
        <v>0.37</v>
      </c>
      <c r="E265" t="str">
        <f>VLOOKUP(A265,Datos!$A$2:$H$1084,6,FALSE)</f>
        <v>36.53</v>
      </c>
      <c r="F265" t="str">
        <f>VLOOKUP(A265,Datos!$A$2:$H$1084,7,FALSE)</f>
        <v>0.00</v>
      </c>
      <c r="G265" t="str">
        <f>VLOOKUP(A265,Datos!$A$2:$H$1084,8,FALSE)</f>
        <v>0.05</v>
      </c>
    </row>
    <row r="266" spans="1:7" x14ac:dyDescent="0.3">
      <c r="A266" s="1">
        <v>151560</v>
      </c>
      <c r="B266" t="str">
        <f>VLOOKUP(A266,Datos!$A$2:$H$1084,3,FALSE)</f>
        <v>46.69</v>
      </c>
      <c r="C266" t="str">
        <f>VLOOKUP(A266,Datos!$A$2:$H$1084,4,FALSE)</f>
        <v>0.00</v>
      </c>
      <c r="D266" t="str">
        <f>VLOOKUP(A266,Datos!$A$2:$H$1084,5,FALSE)</f>
        <v>0.15</v>
      </c>
      <c r="E266" t="str">
        <f>VLOOKUP(A266,Datos!$A$2:$H$1084,6,FALSE)</f>
        <v>18.43</v>
      </c>
      <c r="F266" t="str">
        <f>VLOOKUP(A266,Datos!$A$2:$H$1084,7,FALSE)</f>
        <v>0.00</v>
      </c>
      <c r="G266" t="str">
        <f>VLOOKUP(A266,Datos!$A$2:$H$1084,8,FALSE)</f>
        <v>0.03</v>
      </c>
    </row>
    <row r="267" spans="1:7" x14ac:dyDescent="0.3">
      <c r="A267" s="1">
        <v>627822</v>
      </c>
      <c r="B267" t="str">
        <f>VLOOKUP(A267,Datos!$A$2:$H$1084,3,FALSE)</f>
        <v>3.81</v>
      </c>
      <c r="C267" t="str">
        <f>VLOOKUP(A267,Datos!$A$2:$H$1084,4,FALSE)</f>
        <v>0.01</v>
      </c>
      <c r="D267" t="str">
        <f>VLOOKUP(A267,Datos!$A$2:$H$1084,5,FALSE)</f>
        <v>0.01</v>
      </c>
      <c r="E267" t="str">
        <f>VLOOKUP(A267,Datos!$A$2:$H$1084,6,FALSE)</f>
        <v>0.30</v>
      </c>
      <c r="F267" t="str">
        <f>VLOOKUP(A267,Datos!$A$2:$H$1084,7,FALSE)</f>
        <v>0.01</v>
      </c>
      <c r="G267" t="str">
        <f>VLOOKUP(A267,Datos!$A$2:$H$1084,8,FALSE)</f>
        <v>0.01</v>
      </c>
    </row>
    <row r="268" spans="1:7" x14ac:dyDescent="0.3">
      <c r="A268" s="1">
        <v>489104</v>
      </c>
      <c r="B268" t="str">
        <f>VLOOKUP(A268,Datos!$A$2:$H$1084,3,FALSE)</f>
        <v>29.32</v>
      </c>
      <c r="C268" t="str">
        <f>VLOOKUP(A268,Datos!$A$2:$H$1084,4,FALSE)</f>
        <v>0.00</v>
      </c>
      <c r="D268" t="str">
        <f>VLOOKUP(A268,Datos!$A$2:$H$1084,5,FALSE)</f>
        <v>0.47</v>
      </c>
      <c r="E268" t="str">
        <f>VLOOKUP(A268,Datos!$A$2:$H$1084,6,FALSE)</f>
        <v>18.80</v>
      </c>
      <c r="F268" t="str">
        <f>VLOOKUP(A268,Datos!$A$2:$H$1084,7,FALSE)</f>
        <v>0.00</v>
      </c>
      <c r="G268" t="str">
        <f>VLOOKUP(A268,Datos!$A$2:$H$1084,8,FALSE)</f>
        <v>0.04</v>
      </c>
    </row>
    <row r="269" spans="1:7" x14ac:dyDescent="0.3">
      <c r="A269" s="1">
        <v>596321</v>
      </c>
      <c r="B269" t="str">
        <f>VLOOKUP(A269,Datos!$A$2:$H$1084,3,FALSE)</f>
        <v>54.19</v>
      </c>
      <c r="C269" t="str">
        <f>VLOOKUP(A269,Datos!$A$2:$H$1084,4,FALSE)</f>
        <v>0.01</v>
      </c>
      <c r="D269" t="str">
        <f>VLOOKUP(A269,Datos!$A$2:$H$1084,5,FALSE)</f>
        <v>0.11</v>
      </c>
      <c r="E269" t="str">
        <f>VLOOKUP(A269,Datos!$A$2:$H$1084,6,FALSE)</f>
        <v>7.39</v>
      </c>
      <c r="F269" t="str">
        <f>VLOOKUP(A269,Datos!$A$2:$H$1084,7,FALSE)</f>
        <v>0.01</v>
      </c>
      <c r="G269" t="str">
        <f>VLOOKUP(A269,Datos!$A$2:$H$1084,8,FALSE)</f>
        <v>0.08</v>
      </c>
    </row>
    <row r="270" spans="1:7" x14ac:dyDescent="0.3">
      <c r="A270" s="1">
        <v>76453</v>
      </c>
      <c r="B270" t="str">
        <f>VLOOKUP(A270,Datos!$A$2:$H$1084,3,FALSE)</f>
        <v>148.44</v>
      </c>
      <c r="C270" t="str">
        <f>VLOOKUP(A270,Datos!$A$2:$H$1084,4,FALSE)</f>
        <v>0.00</v>
      </c>
      <c r="D270" t="str">
        <f>VLOOKUP(A270,Datos!$A$2:$H$1084,5,FALSE)</f>
        <v>2.96</v>
      </c>
      <c r="E270" t="str">
        <f>VLOOKUP(A270,Datos!$A$2:$H$1084,6,FALSE)</f>
        <v>17.38</v>
      </c>
      <c r="F270" t="str">
        <f>VLOOKUP(A270,Datos!$A$2:$H$1084,7,FALSE)</f>
        <v>0.01</v>
      </c>
      <c r="G270" t="str">
        <f>VLOOKUP(A270,Datos!$A$2:$H$1084,8,FALSE)</f>
        <v>0.19</v>
      </c>
    </row>
    <row r="271" spans="1:7" x14ac:dyDescent="0.3">
      <c r="A271" s="1">
        <v>79951</v>
      </c>
      <c r="B271" t="str">
        <f>VLOOKUP(A271,Datos!$A$2:$H$1084,3,FALSE)</f>
        <v>91.40</v>
      </c>
      <c r="C271" t="str">
        <f>VLOOKUP(A271,Datos!$A$2:$H$1084,4,FALSE)</f>
        <v>0.00</v>
      </c>
      <c r="D271" t="str">
        <f>VLOOKUP(A271,Datos!$A$2:$H$1084,5,FALSE)</f>
        <v>0.54</v>
      </c>
      <c r="E271" t="str">
        <f>VLOOKUP(A271,Datos!$A$2:$H$1084,6,FALSE)</f>
        <v>44.50</v>
      </c>
      <c r="F271" t="str">
        <f>VLOOKUP(A271,Datos!$A$2:$H$1084,7,FALSE)</f>
        <v>0.00</v>
      </c>
      <c r="G271" t="str">
        <f>VLOOKUP(A271,Datos!$A$2:$H$1084,8,FALSE)</f>
        <v>0.09</v>
      </c>
    </row>
    <row r="272" spans="1:7" x14ac:dyDescent="0.3">
      <c r="A272" s="1">
        <v>170766</v>
      </c>
      <c r="B272" t="str">
        <f>VLOOKUP(A272,Datos!$A$2:$H$1084,3,FALSE)</f>
        <v>42.92</v>
      </c>
      <c r="C272" t="str">
        <f>VLOOKUP(A272,Datos!$A$2:$H$1084,4,FALSE)</f>
        <v>0.00</v>
      </c>
      <c r="D272" t="str">
        <f>VLOOKUP(A272,Datos!$A$2:$H$1084,5,FALSE)</f>
        <v>0.36</v>
      </c>
      <c r="E272" t="str">
        <f>VLOOKUP(A272,Datos!$A$2:$H$1084,6,FALSE)</f>
        <v>6.68</v>
      </c>
      <c r="F272" t="str">
        <f>VLOOKUP(A272,Datos!$A$2:$H$1084,7,FALSE)</f>
        <v>0.00</v>
      </c>
      <c r="G272" t="str">
        <f>VLOOKUP(A272,Datos!$A$2:$H$1084,8,FALSE)</f>
        <v>0.03</v>
      </c>
    </row>
    <row r="273" spans="1:7" x14ac:dyDescent="0.3">
      <c r="A273" s="1">
        <v>65505</v>
      </c>
      <c r="B273" t="str">
        <f>VLOOKUP(A273,Datos!$A$2:$H$1084,3,FALSE)</f>
        <v>31.33</v>
      </c>
      <c r="C273" t="str">
        <f>VLOOKUP(A273,Datos!$A$2:$H$1084,4,FALSE)</f>
        <v>0.00</v>
      </c>
      <c r="D273" t="str">
        <f>VLOOKUP(A273,Datos!$A$2:$H$1084,5,FALSE)</f>
        <v>0.06</v>
      </c>
      <c r="E273" t="str">
        <f>VLOOKUP(A273,Datos!$A$2:$H$1084,6,FALSE)</f>
        <v>18.66</v>
      </c>
      <c r="F273" t="str">
        <f>VLOOKUP(A273,Datos!$A$2:$H$1084,7,FALSE)</f>
        <v>0.00</v>
      </c>
      <c r="G273" t="str">
        <f>VLOOKUP(A273,Datos!$A$2:$H$1084,8,FALSE)</f>
        <v>0.02</v>
      </c>
    </row>
    <row r="274" spans="1:7" x14ac:dyDescent="0.3">
      <c r="A274" s="1">
        <v>148346</v>
      </c>
      <c r="B274" t="str">
        <f>VLOOKUP(A274,Datos!$A$2:$H$1084,3,FALSE)</f>
        <v>74.97</v>
      </c>
      <c r="C274" t="str">
        <f>VLOOKUP(A274,Datos!$A$2:$H$1084,4,FALSE)</f>
        <v>0.00</v>
      </c>
      <c r="D274" t="str">
        <f>VLOOKUP(A274,Datos!$A$2:$H$1084,5,FALSE)</f>
        <v>1.39</v>
      </c>
      <c r="E274" t="str">
        <f>VLOOKUP(A274,Datos!$A$2:$H$1084,6,FALSE)</f>
        <v>35.55</v>
      </c>
      <c r="F274" t="str">
        <f>VLOOKUP(A274,Datos!$A$2:$H$1084,7,FALSE)</f>
        <v>0.00</v>
      </c>
      <c r="G274" t="str">
        <f>VLOOKUP(A274,Datos!$A$2:$H$1084,8,FALSE)</f>
        <v>0.15</v>
      </c>
    </row>
    <row r="275" spans="1:7" x14ac:dyDescent="0.3">
      <c r="A275" s="1">
        <v>47521</v>
      </c>
      <c r="B275" t="str">
        <f>VLOOKUP(A275,Datos!$A$2:$H$1084,3,FALSE)</f>
        <v>80.56</v>
      </c>
      <c r="C275" t="str">
        <f>VLOOKUP(A275,Datos!$A$2:$H$1084,4,FALSE)</f>
        <v>0.00</v>
      </c>
      <c r="D275" t="str">
        <f>VLOOKUP(A275,Datos!$A$2:$H$1084,5,FALSE)</f>
        <v>0.37</v>
      </c>
      <c r="E275" t="str">
        <f>VLOOKUP(A275,Datos!$A$2:$H$1084,6,FALSE)</f>
        <v>15.57</v>
      </c>
      <c r="F275" t="str">
        <f>VLOOKUP(A275,Datos!$A$2:$H$1084,7,FALSE)</f>
        <v>0.00</v>
      </c>
      <c r="G275" t="str">
        <f>VLOOKUP(A275,Datos!$A$2:$H$1084,8,FALSE)</f>
        <v>0.04</v>
      </c>
    </row>
    <row r="276" spans="1:7" x14ac:dyDescent="0.3">
      <c r="A276" s="1">
        <v>463745</v>
      </c>
      <c r="B276" t="str">
        <f>VLOOKUP(A276,Datos!$A$2:$H$1084,3,FALSE)</f>
        <v>46.37</v>
      </c>
      <c r="C276" t="str">
        <f>VLOOKUP(A276,Datos!$A$2:$H$1084,4,FALSE)</f>
        <v>0.00</v>
      </c>
      <c r="D276" t="str">
        <f>VLOOKUP(A276,Datos!$A$2:$H$1084,5,FALSE)</f>
        <v>0.48</v>
      </c>
      <c r="E276" t="str">
        <f>VLOOKUP(A276,Datos!$A$2:$H$1084,6,FALSE)</f>
        <v>11.68</v>
      </c>
      <c r="F276" t="str">
        <f>VLOOKUP(A276,Datos!$A$2:$H$1084,7,FALSE)</f>
        <v>0.00</v>
      </c>
      <c r="G276" t="str">
        <f>VLOOKUP(A276,Datos!$A$2:$H$1084,8,FALSE)</f>
        <v>0.06</v>
      </c>
    </row>
    <row r="277" spans="1:7" x14ac:dyDescent="0.3">
      <c r="A277" s="1">
        <v>468229</v>
      </c>
      <c r="B277" t="str">
        <f>VLOOKUP(A277,Datos!$A$2:$H$1084,3,FALSE)</f>
        <v>40.07</v>
      </c>
      <c r="C277" t="str">
        <f>VLOOKUP(A277,Datos!$A$2:$H$1084,4,FALSE)</f>
        <v>0.00</v>
      </c>
      <c r="D277" t="str">
        <f>VLOOKUP(A277,Datos!$A$2:$H$1084,5,FALSE)</f>
        <v>0.28</v>
      </c>
      <c r="E277" t="str">
        <f>VLOOKUP(A277,Datos!$A$2:$H$1084,6,FALSE)</f>
        <v>10.45</v>
      </c>
      <c r="F277" t="str">
        <f>VLOOKUP(A277,Datos!$A$2:$H$1084,7,FALSE)</f>
        <v>0.00</v>
      </c>
      <c r="G277" t="str">
        <f>VLOOKUP(A277,Datos!$A$2:$H$1084,8,FALSE)</f>
        <v>0.06</v>
      </c>
    </row>
    <row r="278" spans="1:7" x14ac:dyDescent="0.3">
      <c r="A278" s="1">
        <v>67142</v>
      </c>
      <c r="B278" t="str">
        <f>VLOOKUP(A278,Datos!$A$2:$H$1084,3,FALSE)</f>
        <v>33.32</v>
      </c>
      <c r="C278" t="str">
        <f>VLOOKUP(A278,Datos!$A$2:$H$1084,4,FALSE)</f>
        <v>0.00</v>
      </c>
      <c r="D278" t="str">
        <f>VLOOKUP(A278,Datos!$A$2:$H$1084,5,FALSE)</f>
        <v>0.09</v>
      </c>
      <c r="E278" t="str">
        <f>VLOOKUP(A278,Datos!$A$2:$H$1084,6,FALSE)</f>
        <v>8.75</v>
      </c>
      <c r="F278" t="str">
        <f>VLOOKUP(A278,Datos!$A$2:$H$1084,7,FALSE)</f>
        <v>0.00</v>
      </c>
      <c r="G278" t="str">
        <f>VLOOKUP(A278,Datos!$A$2:$H$1084,8,FALSE)</f>
        <v>0.01</v>
      </c>
    </row>
    <row r="279" spans="1:7" x14ac:dyDescent="0.3">
      <c r="A279" s="1">
        <v>72879</v>
      </c>
      <c r="B279" t="str">
        <f>VLOOKUP(A279,Datos!$A$2:$H$1084,3,FALSE)</f>
        <v>92.37</v>
      </c>
      <c r="C279" t="str">
        <f>VLOOKUP(A279,Datos!$A$2:$H$1084,4,FALSE)</f>
        <v>0.00</v>
      </c>
      <c r="D279" t="str">
        <f>VLOOKUP(A279,Datos!$A$2:$H$1084,5,FALSE)</f>
        <v>0.68</v>
      </c>
      <c r="E279" t="str">
        <f>VLOOKUP(A279,Datos!$A$2:$H$1084,6,FALSE)</f>
        <v>13.49</v>
      </c>
      <c r="F279" t="str">
        <f>VLOOKUP(A279,Datos!$A$2:$H$1084,7,FALSE)</f>
        <v>0.00</v>
      </c>
      <c r="G279" t="str">
        <f>VLOOKUP(A279,Datos!$A$2:$H$1084,8,FALSE)</f>
        <v>0.05</v>
      </c>
    </row>
    <row r="280" spans="1:7" x14ac:dyDescent="0.3">
      <c r="A280" s="1">
        <v>486407</v>
      </c>
      <c r="B280" t="str">
        <f>VLOOKUP(A280,Datos!$A$2:$H$1084,3,FALSE)</f>
        <v>0.81</v>
      </c>
      <c r="C280" t="str">
        <f>VLOOKUP(A280,Datos!$A$2:$H$1084,4,FALSE)</f>
        <v>0.00</v>
      </c>
      <c r="D280" t="str">
        <f>VLOOKUP(A280,Datos!$A$2:$H$1084,5,FALSE)</f>
        <v>0.00</v>
      </c>
      <c r="E280" t="str">
        <f>VLOOKUP(A280,Datos!$A$2:$H$1084,6,FALSE)</f>
        <v>0.04</v>
      </c>
      <c r="F280" t="str">
        <f>VLOOKUP(A280,Datos!$A$2:$H$1084,7,FALSE)</f>
        <v>0.00</v>
      </c>
      <c r="G280" t="str">
        <f>VLOOKUP(A280,Datos!$A$2:$H$1084,8,FALSE)</f>
        <v>0.00</v>
      </c>
    </row>
    <row r="281" spans="1:7" x14ac:dyDescent="0.3">
      <c r="A281" s="1">
        <v>170318</v>
      </c>
      <c r="B281" t="str">
        <f>VLOOKUP(A281,Datos!$A$2:$H$1084,3,FALSE)</f>
        <v>33.79</v>
      </c>
      <c r="C281" t="str">
        <f>VLOOKUP(A281,Datos!$A$2:$H$1084,4,FALSE)</f>
        <v>0.00</v>
      </c>
      <c r="D281" t="str">
        <f>VLOOKUP(A281,Datos!$A$2:$H$1084,5,FALSE)</f>
        <v>0.37</v>
      </c>
      <c r="E281" t="str">
        <f>VLOOKUP(A281,Datos!$A$2:$H$1084,6,FALSE)</f>
        <v>7.88</v>
      </c>
      <c r="F281" t="str">
        <f>VLOOKUP(A281,Datos!$A$2:$H$1084,7,FALSE)</f>
        <v>0.00</v>
      </c>
      <c r="G281" t="str">
        <f>VLOOKUP(A281,Datos!$A$2:$H$1084,8,FALSE)</f>
        <v>0.03</v>
      </c>
    </row>
    <row r="282" spans="1:7" x14ac:dyDescent="0.3">
      <c r="A282" s="1">
        <v>547444</v>
      </c>
      <c r="B282" t="str">
        <f>VLOOKUP(A282,Datos!$A$2:$H$1084,3,FALSE)</f>
        <v>139.15</v>
      </c>
      <c r="C282" t="str">
        <f>VLOOKUP(A282,Datos!$A$2:$H$1084,4,FALSE)</f>
        <v>0.00</v>
      </c>
      <c r="D282" t="str">
        <f>VLOOKUP(A282,Datos!$A$2:$H$1084,5,FALSE)</f>
        <v>7.70</v>
      </c>
      <c r="E282" t="str">
        <f>VLOOKUP(A282,Datos!$A$2:$H$1084,6,FALSE)</f>
        <v>11.47</v>
      </c>
      <c r="F282" t="str">
        <f>VLOOKUP(A282,Datos!$A$2:$H$1084,7,FALSE)</f>
        <v>0.00</v>
      </c>
      <c r="G282" t="str">
        <f>VLOOKUP(A282,Datos!$A$2:$H$1084,8,FALSE)</f>
        <v>0.40</v>
      </c>
    </row>
    <row r="283" spans="1:7" x14ac:dyDescent="0.3">
      <c r="A283" s="1">
        <v>62521</v>
      </c>
      <c r="B283" t="str">
        <f>VLOOKUP(A283,Datos!$A$2:$H$1084,3,FALSE)</f>
        <v>38.79</v>
      </c>
      <c r="C283" t="str">
        <f>VLOOKUP(A283,Datos!$A$2:$H$1084,4,FALSE)</f>
        <v>0.00</v>
      </c>
      <c r="D283" t="str">
        <f>VLOOKUP(A283,Datos!$A$2:$H$1084,5,FALSE)</f>
        <v>0.05</v>
      </c>
      <c r="E283" t="str">
        <f>VLOOKUP(A283,Datos!$A$2:$H$1084,6,FALSE)</f>
        <v>11.08</v>
      </c>
      <c r="F283" t="str">
        <f>VLOOKUP(A283,Datos!$A$2:$H$1084,7,FALSE)</f>
        <v>0.00</v>
      </c>
      <c r="G283" t="str">
        <f>VLOOKUP(A283,Datos!$A$2:$H$1084,8,FALSE)</f>
        <v>0.01</v>
      </c>
    </row>
    <row r="284" spans="1:7" x14ac:dyDescent="0.3">
      <c r="A284" s="1">
        <v>557937</v>
      </c>
      <c r="B284" t="str">
        <f>VLOOKUP(A284,Datos!$A$2:$H$1084,3,FALSE)</f>
        <v>70.69</v>
      </c>
      <c r="C284" t="str">
        <f>VLOOKUP(A284,Datos!$A$2:$H$1084,4,FALSE)</f>
        <v>0.00</v>
      </c>
      <c r="D284" t="str">
        <f>VLOOKUP(A284,Datos!$A$2:$H$1084,5,FALSE)</f>
        <v>0.26</v>
      </c>
      <c r="E284" t="str">
        <f>VLOOKUP(A284,Datos!$A$2:$H$1084,6,FALSE)</f>
        <v>5.40</v>
      </c>
      <c r="F284" t="str">
        <f>VLOOKUP(A284,Datos!$A$2:$H$1084,7,FALSE)</f>
        <v>0.00</v>
      </c>
      <c r="G284" t="str">
        <f>VLOOKUP(A284,Datos!$A$2:$H$1084,8,FALSE)</f>
        <v>0.02</v>
      </c>
    </row>
    <row r="285" spans="1:7" x14ac:dyDescent="0.3">
      <c r="A285" s="1">
        <v>148049</v>
      </c>
      <c r="B285" t="str">
        <f>VLOOKUP(A285,Datos!$A$2:$H$1084,3,FALSE)</f>
        <v>63.58</v>
      </c>
      <c r="C285" t="str">
        <f>VLOOKUP(A285,Datos!$A$2:$H$1084,4,FALSE)</f>
        <v>0.01</v>
      </c>
      <c r="D285" t="str">
        <f>VLOOKUP(A285,Datos!$A$2:$H$1084,5,FALSE)</f>
        <v>0.80</v>
      </c>
      <c r="E285" t="str">
        <f>VLOOKUP(A285,Datos!$A$2:$H$1084,6,FALSE)</f>
        <v>19.18</v>
      </c>
      <c r="F285" t="str">
        <f>VLOOKUP(A285,Datos!$A$2:$H$1084,7,FALSE)</f>
        <v>0.01</v>
      </c>
      <c r="G285" t="str">
        <f>VLOOKUP(A285,Datos!$A$2:$H$1084,8,FALSE)</f>
        <v>0.08</v>
      </c>
    </row>
    <row r="286" spans="1:7" x14ac:dyDescent="0.3">
      <c r="A286" s="1">
        <v>463774</v>
      </c>
      <c r="B286" t="str">
        <f>VLOOKUP(A286,Datos!$A$2:$H$1084,3,FALSE)</f>
        <v>76.60</v>
      </c>
      <c r="C286" t="str">
        <f>VLOOKUP(A286,Datos!$A$2:$H$1084,4,FALSE)</f>
        <v>0.00</v>
      </c>
      <c r="D286" t="str">
        <f>VLOOKUP(A286,Datos!$A$2:$H$1084,5,FALSE)</f>
        <v>1.36</v>
      </c>
      <c r="E286" t="str">
        <f>VLOOKUP(A286,Datos!$A$2:$H$1084,6,FALSE)</f>
        <v>8.14</v>
      </c>
      <c r="F286" t="str">
        <f>VLOOKUP(A286,Datos!$A$2:$H$1084,7,FALSE)</f>
        <v>0.00</v>
      </c>
      <c r="G286" t="str">
        <f>VLOOKUP(A286,Datos!$A$2:$H$1084,8,FALSE)</f>
        <v>0.13</v>
      </c>
    </row>
    <row r="287" spans="1:7" x14ac:dyDescent="0.3">
      <c r="A287" s="1">
        <v>67811</v>
      </c>
      <c r="B287" t="str">
        <f>VLOOKUP(A287,Datos!$A$2:$H$1084,3,FALSE)</f>
        <v>126.21</v>
      </c>
      <c r="C287" t="str">
        <f>VLOOKUP(A287,Datos!$A$2:$H$1084,4,FALSE)</f>
        <v>0.00</v>
      </c>
      <c r="D287" t="str">
        <f>VLOOKUP(A287,Datos!$A$2:$H$1084,5,FALSE)</f>
        <v>0.76</v>
      </c>
      <c r="E287" t="str">
        <f>VLOOKUP(A287,Datos!$A$2:$H$1084,6,FALSE)</f>
        <v>11.75</v>
      </c>
      <c r="F287" t="str">
        <f>VLOOKUP(A287,Datos!$A$2:$H$1084,7,FALSE)</f>
        <v>0.00</v>
      </c>
      <c r="G287" t="str">
        <f>VLOOKUP(A287,Datos!$A$2:$H$1084,8,FALSE)</f>
        <v>0.07</v>
      </c>
    </row>
    <row r="288" spans="1:7" x14ac:dyDescent="0.3">
      <c r="A288" s="1">
        <v>158910</v>
      </c>
      <c r="B288" t="str">
        <f>VLOOKUP(A288,Datos!$A$2:$H$1084,3,FALSE)</f>
        <v>93.23</v>
      </c>
      <c r="C288" t="str">
        <f>VLOOKUP(A288,Datos!$A$2:$H$1084,4,FALSE)</f>
        <v>0.00</v>
      </c>
      <c r="D288" t="str">
        <f>VLOOKUP(A288,Datos!$A$2:$H$1084,5,FALSE)</f>
        <v>0.27</v>
      </c>
      <c r="E288" t="str">
        <f>VLOOKUP(A288,Datos!$A$2:$H$1084,6,FALSE)</f>
        <v>5.30</v>
      </c>
      <c r="F288" t="str">
        <f>VLOOKUP(A288,Datos!$A$2:$H$1084,7,FALSE)</f>
        <v>0.00</v>
      </c>
      <c r="G288" t="str">
        <f>VLOOKUP(A288,Datos!$A$2:$H$1084,8,FALSE)</f>
        <v>0.02</v>
      </c>
    </row>
    <row r="289" spans="1:7" x14ac:dyDescent="0.3">
      <c r="A289" s="1">
        <v>445718</v>
      </c>
      <c r="B289" t="str">
        <f>VLOOKUP(A289,Datos!$A$2:$H$1084,3,FALSE)</f>
        <v>52.76</v>
      </c>
      <c r="C289" t="str">
        <f>VLOOKUP(A289,Datos!$A$2:$H$1084,4,FALSE)</f>
        <v>0.00</v>
      </c>
      <c r="D289" t="str">
        <f>VLOOKUP(A289,Datos!$A$2:$H$1084,5,FALSE)</f>
        <v>0.11</v>
      </c>
      <c r="E289" t="str">
        <f>VLOOKUP(A289,Datos!$A$2:$H$1084,6,FALSE)</f>
        <v>5.45</v>
      </c>
      <c r="F289" t="str">
        <f>VLOOKUP(A289,Datos!$A$2:$H$1084,7,FALSE)</f>
        <v>0.00</v>
      </c>
      <c r="G289" t="str">
        <f>VLOOKUP(A289,Datos!$A$2:$H$1084,8,FALSE)</f>
        <v>0.02</v>
      </c>
    </row>
    <row r="290" spans="1:7" x14ac:dyDescent="0.3">
      <c r="A290" s="1">
        <v>52862</v>
      </c>
      <c r="B290" t="str">
        <f>VLOOKUP(A290,Datos!$A$2:$H$1084,3,FALSE)</f>
        <v>38.15</v>
      </c>
      <c r="C290" t="str">
        <f>VLOOKUP(A290,Datos!$A$2:$H$1084,4,FALSE)</f>
        <v>0.00</v>
      </c>
      <c r="D290" t="str">
        <f>VLOOKUP(A290,Datos!$A$2:$H$1084,5,FALSE)</f>
        <v>0.24</v>
      </c>
      <c r="E290" t="str">
        <f>VLOOKUP(A290,Datos!$A$2:$H$1084,6,FALSE)</f>
        <v>1.27</v>
      </c>
      <c r="F290" t="str">
        <f>VLOOKUP(A290,Datos!$A$2:$H$1084,7,FALSE)</f>
        <v>0.00</v>
      </c>
      <c r="G290" t="str">
        <f>VLOOKUP(A290,Datos!$A$2:$H$1084,8,FALSE)</f>
        <v>0.01</v>
      </c>
    </row>
    <row r="291" spans="1:7" x14ac:dyDescent="0.3">
      <c r="A291" s="1">
        <v>89629</v>
      </c>
      <c r="B291" t="str">
        <f>VLOOKUP(A291,Datos!$A$2:$H$1084,3,FALSE)</f>
        <v>69.53</v>
      </c>
      <c r="C291" t="str">
        <f>VLOOKUP(A291,Datos!$A$2:$H$1084,4,FALSE)</f>
        <v>0.00</v>
      </c>
      <c r="D291" t="str">
        <f>VLOOKUP(A291,Datos!$A$2:$H$1084,5,FALSE)</f>
        <v>1.11</v>
      </c>
      <c r="E291" t="str">
        <f>VLOOKUP(A291,Datos!$A$2:$H$1084,6,FALSE)</f>
        <v>36.62</v>
      </c>
      <c r="F291" t="str">
        <f>VLOOKUP(A291,Datos!$A$2:$H$1084,7,FALSE)</f>
        <v>0.00</v>
      </c>
      <c r="G291" t="str">
        <f>VLOOKUP(A291,Datos!$A$2:$H$1084,8,FALSE)</f>
        <v>0.08</v>
      </c>
    </row>
    <row r="292" spans="1:7" x14ac:dyDescent="0.3">
      <c r="A292" s="1">
        <v>65591</v>
      </c>
      <c r="B292" t="str">
        <f>VLOOKUP(A292,Datos!$A$2:$H$1084,3,FALSE)</f>
        <v>17.13</v>
      </c>
      <c r="C292" t="str">
        <f>VLOOKUP(A292,Datos!$A$2:$H$1084,4,FALSE)</f>
        <v>0.00</v>
      </c>
      <c r="D292" t="str">
        <f>VLOOKUP(A292,Datos!$A$2:$H$1084,5,FALSE)</f>
        <v>0.05</v>
      </c>
      <c r="E292" t="str">
        <f>VLOOKUP(A292,Datos!$A$2:$H$1084,6,FALSE)</f>
        <v>9.40</v>
      </c>
      <c r="F292" t="str">
        <f>VLOOKUP(A292,Datos!$A$2:$H$1084,7,FALSE)</f>
        <v>0.00</v>
      </c>
      <c r="G292" t="str">
        <f>VLOOKUP(A292,Datos!$A$2:$H$1084,8,FALSE)</f>
        <v>0.01</v>
      </c>
    </row>
    <row r="293" spans="1:7" x14ac:dyDescent="0.3">
      <c r="A293" s="1">
        <v>75806</v>
      </c>
      <c r="B293" t="str">
        <f>VLOOKUP(A293,Datos!$A$2:$H$1084,3,FALSE)</f>
        <v>44.60</v>
      </c>
      <c r="C293" t="str">
        <f>VLOOKUP(A293,Datos!$A$2:$H$1084,4,FALSE)</f>
        <v>0.00</v>
      </c>
      <c r="D293" t="str">
        <f>VLOOKUP(A293,Datos!$A$2:$H$1084,5,FALSE)</f>
        <v>0.66</v>
      </c>
      <c r="E293" t="str">
        <f>VLOOKUP(A293,Datos!$A$2:$H$1084,6,FALSE)</f>
        <v>8.63</v>
      </c>
      <c r="F293" t="str">
        <f>VLOOKUP(A293,Datos!$A$2:$H$1084,7,FALSE)</f>
        <v>0.00</v>
      </c>
      <c r="G293" t="str">
        <f>VLOOKUP(A293,Datos!$A$2:$H$1084,8,FALSE)</f>
        <v>0.07</v>
      </c>
    </row>
    <row r="294" spans="1:7" x14ac:dyDescent="0.3">
      <c r="A294" s="1">
        <v>151720</v>
      </c>
      <c r="B294" t="str">
        <f>VLOOKUP(A294,Datos!$A$2:$H$1084,3,FALSE)</f>
        <v>77.88</v>
      </c>
      <c r="C294" t="str">
        <f>VLOOKUP(A294,Datos!$A$2:$H$1084,4,FALSE)</f>
        <v>0.01</v>
      </c>
      <c r="D294" t="str">
        <f>VLOOKUP(A294,Datos!$A$2:$H$1084,5,FALSE)</f>
        <v>0.43</v>
      </c>
      <c r="E294" t="str">
        <f>VLOOKUP(A294,Datos!$A$2:$H$1084,6,FALSE)</f>
        <v>9.51</v>
      </c>
      <c r="F294" t="str">
        <f>VLOOKUP(A294,Datos!$A$2:$H$1084,7,FALSE)</f>
        <v>0.01</v>
      </c>
      <c r="G294" t="str">
        <f>VLOOKUP(A294,Datos!$A$2:$H$1084,8,FALSE)</f>
        <v>0.07</v>
      </c>
    </row>
    <row r="295" spans="1:7" x14ac:dyDescent="0.3">
      <c r="A295" s="1">
        <v>577855</v>
      </c>
      <c r="B295" t="str">
        <f>VLOOKUP(A295,Datos!$A$2:$H$1084,3,FALSE)</f>
        <v>54.66</v>
      </c>
      <c r="C295" t="str">
        <f>VLOOKUP(A295,Datos!$A$2:$H$1084,4,FALSE)</f>
        <v>0.00</v>
      </c>
      <c r="D295" t="str">
        <f>VLOOKUP(A295,Datos!$A$2:$H$1084,5,FALSE)</f>
        <v>0.04</v>
      </c>
      <c r="E295" t="str">
        <f>VLOOKUP(A295,Datos!$A$2:$H$1084,6,FALSE)</f>
        <v>2.24</v>
      </c>
      <c r="F295" t="str">
        <f>VLOOKUP(A295,Datos!$A$2:$H$1084,7,FALSE)</f>
        <v>0.00</v>
      </c>
      <c r="G295" t="str">
        <f>VLOOKUP(A295,Datos!$A$2:$H$1084,8,FALSE)</f>
        <v>0.01</v>
      </c>
    </row>
    <row r="296" spans="1:7" x14ac:dyDescent="0.3">
      <c r="A296" s="1">
        <v>447784</v>
      </c>
      <c r="B296" t="str">
        <f>VLOOKUP(A296,Datos!$A$2:$H$1084,3,FALSE)</f>
        <v>32.44</v>
      </c>
      <c r="C296" t="str">
        <f>VLOOKUP(A296,Datos!$A$2:$H$1084,4,FALSE)</f>
        <v>0.01</v>
      </c>
      <c r="D296" t="str">
        <f>VLOOKUP(A296,Datos!$A$2:$H$1084,5,FALSE)</f>
        <v>0.21</v>
      </c>
      <c r="E296" t="str">
        <f>VLOOKUP(A296,Datos!$A$2:$H$1084,6,FALSE)</f>
        <v>5.55</v>
      </c>
      <c r="F296" t="str">
        <f>VLOOKUP(A296,Datos!$A$2:$H$1084,7,FALSE)</f>
        <v>0.01</v>
      </c>
      <c r="G296" t="str">
        <f>VLOOKUP(A296,Datos!$A$2:$H$1084,8,FALSE)</f>
        <v>0.03</v>
      </c>
    </row>
    <row r="297" spans="1:7" x14ac:dyDescent="0.3">
      <c r="A297" s="1">
        <v>149015</v>
      </c>
      <c r="B297" t="str">
        <f>VLOOKUP(A297,Datos!$A$2:$H$1084,3,FALSE)</f>
        <v>91.83</v>
      </c>
      <c r="C297" t="str">
        <f>VLOOKUP(A297,Datos!$A$2:$H$1084,4,FALSE)</f>
        <v>0.01</v>
      </c>
      <c r="D297" t="str">
        <f>VLOOKUP(A297,Datos!$A$2:$H$1084,5,FALSE)</f>
        <v>1.07</v>
      </c>
      <c r="E297" t="str">
        <f>VLOOKUP(A297,Datos!$A$2:$H$1084,6,FALSE)</f>
        <v>16.99</v>
      </c>
      <c r="F297" t="str">
        <f>VLOOKUP(A297,Datos!$A$2:$H$1084,7,FALSE)</f>
        <v>0.01</v>
      </c>
      <c r="G297" t="str">
        <f>VLOOKUP(A297,Datos!$A$2:$H$1084,8,FALSE)</f>
        <v>0.14</v>
      </c>
    </row>
    <row r="298" spans="1:7" x14ac:dyDescent="0.3">
      <c r="A298" s="1">
        <v>65628</v>
      </c>
      <c r="B298" t="str">
        <f>VLOOKUP(A298,Datos!$A$2:$H$1084,3,FALSE)</f>
        <v>52.86</v>
      </c>
      <c r="C298" t="str">
        <f>VLOOKUP(A298,Datos!$A$2:$H$1084,4,FALSE)</f>
        <v>0.00</v>
      </c>
      <c r="D298" t="str">
        <f>VLOOKUP(A298,Datos!$A$2:$H$1084,5,FALSE)</f>
        <v>0.35</v>
      </c>
      <c r="E298" t="str">
        <f>VLOOKUP(A298,Datos!$A$2:$H$1084,6,FALSE)</f>
        <v>10.01</v>
      </c>
      <c r="F298" t="str">
        <f>VLOOKUP(A298,Datos!$A$2:$H$1084,7,FALSE)</f>
        <v>0.00</v>
      </c>
      <c r="G298" t="str">
        <f>VLOOKUP(A298,Datos!$A$2:$H$1084,8,FALSE)</f>
        <v>0.03</v>
      </c>
    </row>
    <row r="299" spans="1:7" x14ac:dyDescent="0.3">
      <c r="A299" s="1">
        <v>62644</v>
      </c>
      <c r="B299" t="str">
        <f>VLOOKUP(A299,Datos!$A$2:$H$1084,3,FALSE)</f>
        <v>65.41</v>
      </c>
      <c r="C299" t="str">
        <f>VLOOKUP(A299,Datos!$A$2:$H$1084,4,FALSE)</f>
        <v>0.00</v>
      </c>
      <c r="D299" t="str">
        <f>VLOOKUP(A299,Datos!$A$2:$H$1084,5,FALSE)</f>
        <v>0.60</v>
      </c>
      <c r="E299" t="str">
        <f>VLOOKUP(A299,Datos!$A$2:$H$1084,6,FALSE)</f>
        <v>19.46</v>
      </c>
      <c r="F299" t="str">
        <f>VLOOKUP(A299,Datos!$A$2:$H$1084,7,FALSE)</f>
        <v>0.00</v>
      </c>
      <c r="G299" t="str">
        <f>VLOOKUP(A299,Datos!$A$2:$H$1084,8,FALSE)</f>
        <v>0.07</v>
      </c>
    </row>
    <row r="300" spans="1:7" x14ac:dyDescent="0.3">
      <c r="A300" s="1">
        <v>81746</v>
      </c>
      <c r="B300" t="str">
        <f>VLOOKUP(A300,Datos!$A$2:$H$1084,3,FALSE)</f>
        <v>5.13</v>
      </c>
      <c r="C300" t="str">
        <f>VLOOKUP(A300,Datos!$A$2:$H$1084,4,FALSE)</f>
        <v>0.00</v>
      </c>
      <c r="D300" t="str">
        <f>VLOOKUP(A300,Datos!$A$2:$H$1084,5,FALSE)</f>
        <v>0.00</v>
      </c>
      <c r="E300" t="str">
        <f>VLOOKUP(A300,Datos!$A$2:$H$1084,6,FALSE)</f>
        <v>0.60</v>
      </c>
      <c r="F300" t="str">
        <f>VLOOKUP(A300,Datos!$A$2:$H$1084,7,FALSE)</f>
        <v>0.00</v>
      </c>
      <c r="G300" t="str">
        <f>VLOOKUP(A300,Datos!$A$2:$H$1084,8,FALSE)</f>
        <v>0.00</v>
      </c>
    </row>
    <row r="301" spans="1:7" x14ac:dyDescent="0.3">
      <c r="A301" s="1">
        <v>464962</v>
      </c>
      <c r="B301" t="str">
        <f>VLOOKUP(A301,Datos!$A$2:$H$1084,3,FALSE)</f>
        <v>50.65</v>
      </c>
      <c r="C301" t="str">
        <f>VLOOKUP(A301,Datos!$A$2:$H$1084,4,FALSE)</f>
        <v>0.01</v>
      </c>
      <c r="D301" t="str">
        <f>VLOOKUP(A301,Datos!$A$2:$H$1084,5,FALSE)</f>
        <v>2.07</v>
      </c>
      <c r="E301" t="str">
        <f>VLOOKUP(A301,Datos!$A$2:$H$1084,6,FALSE)</f>
        <v>8.77</v>
      </c>
      <c r="F301" t="str">
        <f>VLOOKUP(A301,Datos!$A$2:$H$1084,7,FALSE)</f>
        <v>0.01</v>
      </c>
      <c r="G301" t="str">
        <f>VLOOKUP(A301,Datos!$A$2:$H$1084,8,FALSE)</f>
        <v>0.22</v>
      </c>
    </row>
    <row r="302" spans="1:7" x14ac:dyDescent="0.3">
      <c r="A302" s="1">
        <v>170455</v>
      </c>
      <c r="B302" t="str">
        <f>VLOOKUP(A302,Datos!$A$2:$H$1084,3,FALSE)</f>
        <v>40.85</v>
      </c>
      <c r="C302" t="str">
        <f>VLOOKUP(A302,Datos!$A$2:$H$1084,4,FALSE)</f>
        <v>0.01</v>
      </c>
      <c r="D302" t="str">
        <f>VLOOKUP(A302,Datos!$A$2:$H$1084,5,FALSE)</f>
        <v>0.46</v>
      </c>
      <c r="E302" t="str">
        <f>VLOOKUP(A302,Datos!$A$2:$H$1084,6,FALSE)</f>
        <v>4.13</v>
      </c>
      <c r="F302" t="str">
        <f>VLOOKUP(A302,Datos!$A$2:$H$1084,7,FALSE)</f>
        <v>0.01</v>
      </c>
      <c r="G302" t="str">
        <f>VLOOKUP(A302,Datos!$A$2:$H$1084,8,FALSE)</f>
        <v>0.04</v>
      </c>
    </row>
    <row r="303" spans="1:7" x14ac:dyDescent="0.3">
      <c r="A303" s="1">
        <v>67222</v>
      </c>
      <c r="B303" t="str">
        <f>VLOOKUP(A303,Datos!$A$2:$H$1084,3,FALSE)</f>
        <v>53.02</v>
      </c>
      <c r="C303" t="str">
        <f>VLOOKUP(A303,Datos!$A$2:$H$1084,4,FALSE)</f>
        <v>0.00</v>
      </c>
      <c r="D303" t="str">
        <f>VLOOKUP(A303,Datos!$A$2:$H$1084,5,FALSE)</f>
        <v>0.01</v>
      </c>
      <c r="E303" t="str">
        <f>VLOOKUP(A303,Datos!$A$2:$H$1084,6,FALSE)</f>
        <v>0.14</v>
      </c>
      <c r="F303" t="str">
        <f>VLOOKUP(A303,Datos!$A$2:$H$1084,7,FALSE)</f>
        <v>0.00</v>
      </c>
      <c r="G303" t="str">
        <f>VLOOKUP(A303,Datos!$A$2:$H$1084,8,FALSE)</f>
        <v>0.00</v>
      </c>
    </row>
    <row r="304" spans="1:7" x14ac:dyDescent="0.3">
      <c r="A304" s="1">
        <v>166533</v>
      </c>
      <c r="B304" t="str">
        <f>VLOOKUP(A304,Datos!$A$2:$H$1084,3,FALSE)</f>
        <v>134.05</v>
      </c>
      <c r="C304" t="str">
        <f>VLOOKUP(A304,Datos!$A$2:$H$1084,4,FALSE)</f>
        <v>0.01</v>
      </c>
      <c r="D304" t="str">
        <f>VLOOKUP(A304,Datos!$A$2:$H$1084,5,FALSE)</f>
        <v>0.92</v>
      </c>
      <c r="E304" t="str">
        <f>VLOOKUP(A304,Datos!$A$2:$H$1084,6,FALSE)</f>
        <v>24.01</v>
      </c>
      <c r="F304" t="str">
        <f>VLOOKUP(A304,Datos!$A$2:$H$1084,7,FALSE)</f>
        <v>0.01</v>
      </c>
      <c r="G304" t="str">
        <f>VLOOKUP(A304,Datos!$A$2:$H$1084,8,FALSE)</f>
        <v>0.06</v>
      </c>
    </row>
    <row r="305" spans="1:7" x14ac:dyDescent="0.3">
      <c r="A305" s="1">
        <v>448972</v>
      </c>
      <c r="B305" t="str">
        <f>VLOOKUP(A305,Datos!$A$2:$H$1084,3,FALSE)</f>
        <v>68.25</v>
      </c>
      <c r="C305" t="str">
        <f>VLOOKUP(A305,Datos!$A$2:$H$1084,4,FALSE)</f>
        <v>0.00</v>
      </c>
      <c r="D305" t="str">
        <f>VLOOKUP(A305,Datos!$A$2:$H$1084,5,FALSE)</f>
        <v>0.14</v>
      </c>
      <c r="E305" t="str">
        <f>VLOOKUP(A305,Datos!$A$2:$H$1084,6,FALSE)</f>
        <v>35.60</v>
      </c>
      <c r="F305" t="str">
        <f>VLOOKUP(A305,Datos!$A$2:$H$1084,7,FALSE)</f>
        <v>0.00</v>
      </c>
      <c r="G305" t="str">
        <f>VLOOKUP(A305,Datos!$A$2:$H$1084,8,FALSE)</f>
        <v>0.05</v>
      </c>
    </row>
    <row r="306" spans="1:7" x14ac:dyDescent="0.3">
      <c r="A306" s="1">
        <v>547613</v>
      </c>
      <c r="B306" t="str">
        <f>VLOOKUP(A306,Datos!$A$2:$H$1084,3,FALSE)</f>
        <v>68.04</v>
      </c>
      <c r="C306" t="str">
        <f>VLOOKUP(A306,Datos!$A$2:$H$1084,4,FALSE)</f>
        <v>0.00</v>
      </c>
      <c r="D306" t="str">
        <f>VLOOKUP(A306,Datos!$A$2:$H$1084,5,FALSE)</f>
        <v>0.20</v>
      </c>
      <c r="E306" t="str">
        <f>VLOOKUP(A306,Datos!$A$2:$H$1084,6,FALSE)</f>
        <v>8.85</v>
      </c>
      <c r="F306" t="str">
        <f>VLOOKUP(A306,Datos!$A$2:$H$1084,7,FALSE)</f>
        <v>0.01</v>
      </c>
      <c r="G306" t="str">
        <f>VLOOKUP(A306,Datos!$A$2:$H$1084,8,FALSE)</f>
        <v>0.04</v>
      </c>
    </row>
    <row r="307" spans="1:7" x14ac:dyDescent="0.3">
      <c r="A307" s="1">
        <v>488487</v>
      </c>
      <c r="B307" t="str">
        <f>VLOOKUP(A307,Datos!$A$2:$H$1084,3,FALSE)</f>
        <v>94.49</v>
      </c>
      <c r="C307" t="str">
        <f>VLOOKUP(A307,Datos!$A$2:$H$1084,4,FALSE)</f>
        <v>0.00</v>
      </c>
      <c r="D307" t="str">
        <f>VLOOKUP(A307,Datos!$A$2:$H$1084,5,FALSE)</f>
        <v>0.22</v>
      </c>
      <c r="E307" t="str">
        <f>VLOOKUP(A307,Datos!$A$2:$H$1084,6,FALSE)</f>
        <v>25.54</v>
      </c>
      <c r="F307" t="str">
        <f>VLOOKUP(A307,Datos!$A$2:$H$1084,7,FALSE)</f>
        <v>0.00</v>
      </c>
      <c r="G307" t="str">
        <f>VLOOKUP(A307,Datos!$A$2:$H$1084,8,FALSE)</f>
        <v>0.02</v>
      </c>
    </row>
    <row r="308" spans="1:7" x14ac:dyDescent="0.3">
      <c r="A308" s="1">
        <v>59552</v>
      </c>
      <c r="B308" t="str">
        <f>VLOOKUP(A308,Datos!$A$2:$H$1084,3,FALSE)</f>
        <v>13.60</v>
      </c>
      <c r="C308" t="str">
        <f>VLOOKUP(A308,Datos!$A$2:$H$1084,4,FALSE)</f>
        <v>0.01</v>
      </c>
      <c r="D308" t="str">
        <f>VLOOKUP(A308,Datos!$A$2:$H$1084,5,FALSE)</f>
        <v>0.06</v>
      </c>
      <c r="E308" t="str">
        <f>VLOOKUP(A308,Datos!$A$2:$H$1084,6,FALSE)</f>
        <v>6.60</v>
      </c>
      <c r="F308" t="str">
        <f>VLOOKUP(A308,Datos!$A$2:$H$1084,7,FALSE)</f>
        <v>0.01</v>
      </c>
      <c r="G308" t="str">
        <f>VLOOKUP(A308,Datos!$A$2:$H$1084,8,FALSE)</f>
        <v>0.02</v>
      </c>
    </row>
    <row r="309" spans="1:7" x14ac:dyDescent="0.3">
      <c r="A309" s="1">
        <v>148068</v>
      </c>
      <c r="B309" t="str">
        <f>VLOOKUP(A309,Datos!$A$2:$H$1084,3,FALSE)</f>
        <v>37.02</v>
      </c>
      <c r="C309" t="str">
        <f>VLOOKUP(A309,Datos!$A$2:$H$1084,4,FALSE)</f>
        <v>0.01</v>
      </c>
      <c r="D309" t="str">
        <f>VLOOKUP(A309,Datos!$A$2:$H$1084,5,FALSE)</f>
        <v>0.07</v>
      </c>
      <c r="E309" t="str">
        <f>VLOOKUP(A309,Datos!$A$2:$H$1084,6,FALSE)</f>
        <v>18.73</v>
      </c>
      <c r="F309" t="str">
        <f>VLOOKUP(A309,Datos!$A$2:$H$1084,7,FALSE)</f>
        <v>0.01</v>
      </c>
      <c r="G309" t="str">
        <f>VLOOKUP(A309,Datos!$A$2:$H$1084,8,FALSE)</f>
        <v>0.03</v>
      </c>
    </row>
    <row r="310" spans="1:7" x14ac:dyDescent="0.3">
      <c r="A310" s="1">
        <v>563759</v>
      </c>
      <c r="B310" t="str">
        <f>VLOOKUP(A310,Datos!$A$2:$H$1084,3,FALSE)</f>
        <v>32.82</v>
      </c>
      <c r="C310" t="str">
        <f>VLOOKUP(A310,Datos!$A$2:$H$1084,4,FALSE)</f>
        <v>0.00</v>
      </c>
      <c r="D310" t="str">
        <f>VLOOKUP(A310,Datos!$A$2:$H$1084,5,FALSE)</f>
        <v>0.84</v>
      </c>
      <c r="E310" t="str">
        <f>VLOOKUP(A310,Datos!$A$2:$H$1084,6,FALSE)</f>
        <v>8.84</v>
      </c>
      <c r="F310" t="str">
        <f>VLOOKUP(A310,Datos!$A$2:$H$1084,7,FALSE)</f>
        <v>0.00</v>
      </c>
      <c r="G310" t="str">
        <f>VLOOKUP(A310,Datos!$A$2:$H$1084,8,FALSE)</f>
        <v>0.08</v>
      </c>
    </row>
    <row r="311" spans="1:7" x14ac:dyDescent="0.3">
      <c r="A311" s="1">
        <v>463929</v>
      </c>
      <c r="B311" t="str">
        <f>VLOOKUP(A311,Datos!$A$2:$H$1084,3,FALSE)</f>
        <v>84.37</v>
      </c>
      <c r="C311" t="str">
        <f>VLOOKUP(A311,Datos!$A$2:$H$1084,4,FALSE)</f>
        <v>0.00</v>
      </c>
      <c r="D311" t="str">
        <f>VLOOKUP(A311,Datos!$A$2:$H$1084,5,FALSE)</f>
        <v>0.26</v>
      </c>
      <c r="E311" t="str">
        <f>VLOOKUP(A311,Datos!$A$2:$H$1084,6,FALSE)</f>
        <v>7.24</v>
      </c>
      <c r="F311" t="str">
        <f>VLOOKUP(A311,Datos!$A$2:$H$1084,7,FALSE)</f>
        <v>0.00</v>
      </c>
      <c r="G311" t="str">
        <f>VLOOKUP(A311,Datos!$A$2:$H$1084,8,FALSE)</f>
        <v>0.03</v>
      </c>
    </row>
    <row r="312" spans="1:7" x14ac:dyDescent="0.3">
      <c r="A312" s="1">
        <v>157345</v>
      </c>
      <c r="B312" t="str">
        <f>VLOOKUP(A312,Datos!$A$2:$H$1084,3,FALSE)</f>
        <v>39.68</v>
      </c>
      <c r="C312" t="str">
        <f>VLOOKUP(A312,Datos!$A$2:$H$1084,4,FALSE)</f>
        <v>0.00</v>
      </c>
      <c r="D312" t="str">
        <f>VLOOKUP(A312,Datos!$A$2:$H$1084,5,FALSE)</f>
        <v>0.07</v>
      </c>
      <c r="E312" t="str">
        <f>VLOOKUP(A312,Datos!$A$2:$H$1084,6,FALSE)</f>
        <v>4.77</v>
      </c>
      <c r="F312" t="str">
        <f>VLOOKUP(A312,Datos!$A$2:$H$1084,7,FALSE)</f>
        <v>0.00</v>
      </c>
      <c r="G312" t="str">
        <f>VLOOKUP(A312,Datos!$A$2:$H$1084,8,FALSE)</f>
        <v>0.01</v>
      </c>
    </row>
    <row r="313" spans="1:7" x14ac:dyDescent="0.3">
      <c r="A313" s="1">
        <v>44570</v>
      </c>
      <c r="B313" t="str">
        <f>VLOOKUP(A313,Datos!$A$2:$H$1084,3,FALSE)</f>
        <v>136.74</v>
      </c>
      <c r="C313" t="str">
        <f>VLOOKUP(A313,Datos!$A$2:$H$1084,4,FALSE)</f>
        <v>0.00</v>
      </c>
      <c r="D313" t="str">
        <f>VLOOKUP(A313,Datos!$A$2:$H$1084,5,FALSE)</f>
        <v>1.50</v>
      </c>
      <c r="E313" t="str">
        <f>VLOOKUP(A313,Datos!$A$2:$H$1084,6,FALSE)</f>
        <v>43.34</v>
      </c>
      <c r="F313" t="str">
        <f>VLOOKUP(A313,Datos!$A$2:$H$1084,7,FALSE)</f>
        <v>0.00</v>
      </c>
      <c r="G313" t="str">
        <f>VLOOKUP(A313,Datos!$A$2:$H$1084,8,FALSE)</f>
        <v>0.14</v>
      </c>
    </row>
    <row r="314" spans="1:7" x14ac:dyDescent="0.3">
      <c r="A314" s="1">
        <v>441145</v>
      </c>
      <c r="B314" t="str">
        <f>VLOOKUP(A314,Datos!$A$2:$H$1084,3,FALSE)</f>
        <v>32.64</v>
      </c>
      <c r="C314" t="str">
        <f>VLOOKUP(A314,Datos!$A$2:$H$1084,4,FALSE)</f>
        <v>0.00</v>
      </c>
      <c r="D314" t="str">
        <f>VLOOKUP(A314,Datos!$A$2:$H$1084,5,FALSE)</f>
        <v>0.03</v>
      </c>
      <c r="E314" t="str">
        <f>VLOOKUP(A314,Datos!$A$2:$H$1084,6,FALSE)</f>
        <v>1.25</v>
      </c>
      <c r="F314" t="str">
        <f>VLOOKUP(A314,Datos!$A$2:$H$1084,7,FALSE)</f>
        <v>0.00</v>
      </c>
      <c r="G314" t="str">
        <f>VLOOKUP(A314,Datos!$A$2:$H$1084,8,FALSE)</f>
        <v>0.00</v>
      </c>
    </row>
    <row r="315" spans="1:7" x14ac:dyDescent="0.3">
      <c r="A315" s="1">
        <v>443677</v>
      </c>
      <c r="B315" t="str">
        <f>VLOOKUP(A315,Datos!$A$2:$H$1084,3,FALSE)</f>
        <v>36.23</v>
      </c>
      <c r="C315" t="str">
        <f>VLOOKUP(A315,Datos!$A$2:$H$1084,4,FALSE)</f>
        <v>0.00</v>
      </c>
      <c r="D315" t="str">
        <f>VLOOKUP(A315,Datos!$A$2:$H$1084,5,FALSE)</f>
        <v>0.10</v>
      </c>
      <c r="E315" t="str">
        <f>VLOOKUP(A315,Datos!$A$2:$H$1084,6,FALSE)</f>
        <v>14.36</v>
      </c>
      <c r="F315" t="str">
        <f>VLOOKUP(A315,Datos!$A$2:$H$1084,7,FALSE)</f>
        <v>0.00</v>
      </c>
      <c r="G315" t="str">
        <f>VLOOKUP(A315,Datos!$A$2:$H$1084,8,FALSE)</f>
        <v>0.02</v>
      </c>
    </row>
    <row r="316" spans="1:7" x14ac:dyDescent="0.3">
      <c r="A316" s="1">
        <v>44508</v>
      </c>
      <c r="B316" t="str">
        <f>VLOOKUP(A316,Datos!$A$2:$H$1084,3,FALSE)</f>
        <v>74.74</v>
      </c>
      <c r="C316" t="str">
        <f>VLOOKUP(A316,Datos!$A$2:$H$1084,4,FALSE)</f>
        <v>0.00</v>
      </c>
      <c r="D316" t="str">
        <f>VLOOKUP(A316,Datos!$A$2:$H$1084,5,FALSE)</f>
        <v>0.16</v>
      </c>
      <c r="E316" t="str">
        <f>VLOOKUP(A316,Datos!$A$2:$H$1084,6,FALSE)</f>
        <v>7.75</v>
      </c>
      <c r="F316" t="str">
        <f>VLOOKUP(A316,Datos!$A$2:$H$1084,7,FALSE)</f>
        <v>0.00</v>
      </c>
      <c r="G316" t="str">
        <f>VLOOKUP(A316,Datos!$A$2:$H$1084,8,FALSE)</f>
        <v>0.02</v>
      </c>
    </row>
    <row r="317" spans="1:7" x14ac:dyDescent="0.3">
      <c r="A317" s="1">
        <v>72450</v>
      </c>
      <c r="B317" t="str">
        <f>VLOOKUP(A317,Datos!$A$2:$H$1084,3,FALSE)</f>
        <v>86.62</v>
      </c>
      <c r="C317" t="str">
        <f>VLOOKUP(A317,Datos!$A$2:$H$1084,4,FALSE)</f>
        <v>0.00</v>
      </c>
      <c r="D317" t="str">
        <f>VLOOKUP(A317,Datos!$A$2:$H$1084,5,FALSE)</f>
        <v>0.35</v>
      </c>
      <c r="E317" t="str">
        <f>VLOOKUP(A317,Datos!$A$2:$H$1084,6,FALSE)</f>
        <v>3.71</v>
      </c>
      <c r="F317" t="str">
        <f>VLOOKUP(A317,Datos!$A$2:$H$1084,7,FALSE)</f>
        <v>0.00</v>
      </c>
      <c r="G317" t="str">
        <f>VLOOKUP(A317,Datos!$A$2:$H$1084,8,FALSE)</f>
        <v>0.02</v>
      </c>
    </row>
    <row r="318" spans="1:7" x14ac:dyDescent="0.3">
      <c r="A318" s="1">
        <v>396869</v>
      </c>
      <c r="B318" t="str">
        <f>VLOOKUP(A318,Datos!$A$2:$H$1084,3,FALSE)</f>
        <v>137.08</v>
      </c>
      <c r="C318" t="str">
        <f>VLOOKUP(A318,Datos!$A$2:$H$1084,4,FALSE)</f>
        <v>0.00</v>
      </c>
      <c r="D318" t="str">
        <f>VLOOKUP(A318,Datos!$A$2:$H$1084,5,FALSE)</f>
        <v>0.56</v>
      </c>
      <c r="E318" t="str">
        <f>VLOOKUP(A318,Datos!$A$2:$H$1084,6,FALSE)</f>
        <v>6.24</v>
      </c>
      <c r="F318" t="str">
        <f>VLOOKUP(A318,Datos!$A$2:$H$1084,7,FALSE)</f>
        <v>0.00</v>
      </c>
      <c r="G318" t="str">
        <f>VLOOKUP(A318,Datos!$A$2:$H$1084,8,FALSE)</f>
        <v>0.03</v>
      </c>
    </row>
    <row r="319" spans="1:7" x14ac:dyDescent="0.3">
      <c r="A319" s="1">
        <v>62427</v>
      </c>
      <c r="B319" t="str">
        <f>VLOOKUP(A319,Datos!$A$2:$H$1084,3,FALSE)</f>
        <v>17.87</v>
      </c>
      <c r="C319" t="str">
        <f>VLOOKUP(A319,Datos!$A$2:$H$1084,4,FALSE)</f>
        <v>0.00</v>
      </c>
      <c r="D319" t="str">
        <f>VLOOKUP(A319,Datos!$A$2:$H$1084,5,FALSE)</f>
        <v>0.01</v>
      </c>
      <c r="E319" t="str">
        <f>VLOOKUP(A319,Datos!$A$2:$H$1084,6,FALSE)</f>
        <v>13.65</v>
      </c>
      <c r="F319" t="str">
        <f>VLOOKUP(A319,Datos!$A$2:$H$1084,7,FALSE)</f>
        <v>0.00</v>
      </c>
      <c r="G319" t="str">
        <f>VLOOKUP(A319,Datos!$A$2:$H$1084,8,FALSE)</f>
        <v>0.01</v>
      </c>
    </row>
    <row r="320" spans="1:7" x14ac:dyDescent="0.3">
      <c r="A320" s="1">
        <v>151999</v>
      </c>
      <c r="B320" t="str">
        <f>VLOOKUP(A320,Datos!$A$2:$H$1084,3,FALSE)</f>
        <v>141.40</v>
      </c>
      <c r="C320" t="str">
        <f>VLOOKUP(A320,Datos!$A$2:$H$1084,4,FALSE)</f>
        <v>0.00</v>
      </c>
      <c r="D320" t="str">
        <f>VLOOKUP(A320,Datos!$A$2:$H$1084,5,FALSE)</f>
        <v>1.81</v>
      </c>
      <c r="E320" t="str">
        <f>VLOOKUP(A320,Datos!$A$2:$H$1084,6,FALSE)</f>
        <v>85.62</v>
      </c>
      <c r="F320" t="str">
        <f>VLOOKUP(A320,Datos!$A$2:$H$1084,7,FALSE)</f>
        <v>0.00</v>
      </c>
      <c r="G320" t="str">
        <f>VLOOKUP(A320,Datos!$A$2:$H$1084,8,FALSE)</f>
        <v>0.36</v>
      </c>
    </row>
    <row r="321" spans="1:7" x14ac:dyDescent="0.3">
      <c r="A321" s="1">
        <v>212281</v>
      </c>
      <c r="B321" t="str">
        <f>VLOOKUP(A321,Datos!$A$2:$H$1084,3,FALSE)</f>
        <v>48.35</v>
      </c>
      <c r="C321" t="str">
        <f>VLOOKUP(A321,Datos!$A$2:$H$1084,4,FALSE)</f>
        <v>0.00</v>
      </c>
      <c r="D321" t="str">
        <f>VLOOKUP(A321,Datos!$A$2:$H$1084,5,FALSE)</f>
        <v>0.38</v>
      </c>
      <c r="E321" t="str">
        <f>VLOOKUP(A321,Datos!$A$2:$H$1084,6,FALSE)</f>
        <v>5.43</v>
      </c>
      <c r="F321" t="str">
        <f>VLOOKUP(A321,Datos!$A$2:$H$1084,7,FALSE)</f>
        <v>0.00</v>
      </c>
      <c r="G321" t="str">
        <f>VLOOKUP(A321,Datos!$A$2:$H$1084,8,FALSE)</f>
        <v>0.03</v>
      </c>
    </row>
    <row r="322" spans="1:7" x14ac:dyDescent="0.3">
      <c r="A322" s="1">
        <v>84349</v>
      </c>
      <c r="B322" t="str">
        <f>VLOOKUP(A322,Datos!$A$2:$H$1084,3,FALSE)</f>
        <v>86.96</v>
      </c>
      <c r="C322" t="str">
        <f>VLOOKUP(A322,Datos!$A$2:$H$1084,4,FALSE)</f>
        <v>0.00</v>
      </c>
      <c r="D322" t="str">
        <f>VLOOKUP(A322,Datos!$A$2:$H$1084,5,FALSE)</f>
        <v>0.74</v>
      </c>
      <c r="E322" t="str">
        <f>VLOOKUP(A322,Datos!$A$2:$H$1084,6,FALSE)</f>
        <v>7.96</v>
      </c>
      <c r="F322" t="str">
        <f>VLOOKUP(A322,Datos!$A$2:$H$1084,7,FALSE)</f>
        <v>0.00</v>
      </c>
      <c r="G322" t="str">
        <f>VLOOKUP(A322,Datos!$A$2:$H$1084,8,FALSE)</f>
        <v>0.07</v>
      </c>
    </row>
    <row r="323" spans="1:7" x14ac:dyDescent="0.3">
      <c r="A323" s="1">
        <v>46946</v>
      </c>
      <c r="B323" t="str">
        <f>VLOOKUP(A323,Datos!$A$2:$H$1084,3,FALSE)</f>
        <v>49.88</v>
      </c>
      <c r="C323" t="str">
        <f>VLOOKUP(A323,Datos!$A$2:$H$1084,4,FALSE)</f>
        <v>0.00</v>
      </c>
      <c r="D323" t="str">
        <f>VLOOKUP(A323,Datos!$A$2:$H$1084,5,FALSE)</f>
        <v>0.24</v>
      </c>
      <c r="E323" t="str">
        <f>VLOOKUP(A323,Datos!$A$2:$H$1084,6,FALSE)</f>
        <v>5.26</v>
      </c>
      <c r="F323" t="str">
        <f>VLOOKUP(A323,Datos!$A$2:$H$1084,7,FALSE)</f>
        <v>0.00</v>
      </c>
      <c r="G323" t="str">
        <f>VLOOKUP(A323,Datos!$A$2:$H$1084,8,FALSE)</f>
        <v>0.03</v>
      </c>
    </row>
    <row r="324" spans="1:7" x14ac:dyDescent="0.3">
      <c r="A324" s="1">
        <v>146234</v>
      </c>
      <c r="B324" t="str">
        <f>VLOOKUP(A324,Datos!$A$2:$H$1084,3,FALSE)</f>
        <v>13.46</v>
      </c>
      <c r="C324" t="str">
        <f>VLOOKUP(A324,Datos!$A$2:$H$1084,4,FALSE)</f>
        <v>0.00</v>
      </c>
      <c r="D324" t="str">
        <f>VLOOKUP(A324,Datos!$A$2:$H$1084,5,FALSE)</f>
        <v>0.02</v>
      </c>
      <c r="E324" t="str">
        <f>VLOOKUP(A324,Datos!$A$2:$H$1084,6,FALSE)</f>
        <v>1.39</v>
      </c>
      <c r="F324" t="str">
        <f>VLOOKUP(A324,Datos!$A$2:$H$1084,7,FALSE)</f>
        <v>0.00</v>
      </c>
      <c r="G324" t="str">
        <f>VLOOKUP(A324,Datos!$A$2:$H$1084,8,FALSE)</f>
        <v>0.01</v>
      </c>
    </row>
    <row r="325" spans="1:7" x14ac:dyDescent="0.3">
      <c r="A325" s="1">
        <v>63525</v>
      </c>
      <c r="B325" t="str">
        <f>VLOOKUP(A325,Datos!$A$2:$H$1084,3,FALSE)</f>
        <v>82.22</v>
      </c>
      <c r="C325" t="str">
        <f>VLOOKUP(A325,Datos!$A$2:$H$1084,4,FALSE)</f>
        <v>0.01</v>
      </c>
      <c r="D325" t="str">
        <f>VLOOKUP(A325,Datos!$A$2:$H$1084,5,FALSE)</f>
        <v>1.11</v>
      </c>
      <c r="E325" t="str">
        <f>VLOOKUP(A325,Datos!$A$2:$H$1084,6,FALSE)</f>
        <v>34.55</v>
      </c>
      <c r="F325" t="str">
        <f>VLOOKUP(A325,Datos!$A$2:$H$1084,7,FALSE)</f>
        <v>0.01</v>
      </c>
      <c r="G325" t="str">
        <f>VLOOKUP(A325,Datos!$A$2:$H$1084,8,FALSE)</f>
        <v>0.16</v>
      </c>
    </row>
    <row r="326" spans="1:7" x14ac:dyDescent="0.3">
      <c r="A326" s="1">
        <v>486228</v>
      </c>
      <c r="B326" t="str">
        <f>VLOOKUP(A326,Datos!$A$2:$H$1084,3,FALSE)</f>
        <v>1.87</v>
      </c>
      <c r="C326" t="str">
        <f>VLOOKUP(A326,Datos!$A$2:$H$1084,4,FALSE)</f>
        <v>0.00</v>
      </c>
      <c r="D326" t="str">
        <f>VLOOKUP(A326,Datos!$A$2:$H$1084,5,FALSE)</f>
        <v>0.00</v>
      </c>
      <c r="E326" t="str">
        <f>VLOOKUP(A326,Datos!$A$2:$H$1084,6,FALSE)</f>
        <v>0.14</v>
      </c>
      <c r="F326" t="str">
        <f>VLOOKUP(A326,Datos!$A$2:$H$1084,7,FALSE)</f>
        <v>0.00</v>
      </c>
      <c r="G326" t="str">
        <f>VLOOKUP(A326,Datos!$A$2:$H$1084,8,FALSE)</f>
        <v>0.00</v>
      </c>
    </row>
    <row r="327" spans="1:7" x14ac:dyDescent="0.3">
      <c r="A327" s="1">
        <v>61258</v>
      </c>
      <c r="B327" t="str">
        <f>VLOOKUP(A327,Datos!$A$2:$H$1084,3,FALSE)</f>
        <v>52.75</v>
      </c>
      <c r="C327" t="str">
        <f>VLOOKUP(A327,Datos!$A$2:$H$1084,4,FALSE)</f>
        <v>0.01</v>
      </c>
      <c r="D327" t="str">
        <f>VLOOKUP(A327,Datos!$A$2:$H$1084,5,FALSE)</f>
        <v>0.04</v>
      </c>
      <c r="E327" t="str">
        <f>VLOOKUP(A327,Datos!$A$2:$H$1084,6,FALSE)</f>
        <v>5.14</v>
      </c>
      <c r="F327" t="str">
        <f>VLOOKUP(A327,Datos!$A$2:$H$1084,7,FALSE)</f>
        <v>0.01</v>
      </c>
      <c r="G327" t="str">
        <f>VLOOKUP(A327,Datos!$A$2:$H$1084,8,FALSE)</f>
        <v>0.01</v>
      </c>
    </row>
    <row r="328" spans="1:7" x14ac:dyDescent="0.3">
      <c r="A328" s="1">
        <v>441517</v>
      </c>
      <c r="B328" t="str">
        <f>VLOOKUP(A328,Datos!$A$2:$H$1084,3,FALSE)</f>
        <v>33.94</v>
      </c>
      <c r="C328" t="str">
        <f>VLOOKUP(A328,Datos!$A$2:$H$1084,4,FALSE)</f>
        <v>0.00</v>
      </c>
      <c r="D328" t="str">
        <f>VLOOKUP(A328,Datos!$A$2:$H$1084,5,FALSE)</f>
        <v>0.58</v>
      </c>
      <c r="E328" t="str">
        <f>VLOOKUP(A328,Datos!$A$2:$H$1084,6,FALSE)</f>
        <v>11.10</v>
      </c>
      <c r="F328" t="str">
        <f>VLOOKUP(A328,Datos!$A$2:$H$1084,7,FALSE)</f>
        <v>0.00</v>
      </c>
      <c r="G328" t="str">
        <f>VLOOKUP(A328,Datos!$A$2:$H$1084,8,FALSE)</f>
        <v>0.07</v>
      </c>
    </row>
    <row r="329" spans="1:7" x14ac:dyDescent="0.3">
      <c r="A329" s="1">
        <v>44867</v>
      </c>
      <c r="B329" t="str">
        <f>VLOOKUP(A329,Datos!$A$2:$H$1084,3,FALSE)</f>
        <v>9.37</v>
      </c>
      <c r="C329" t="str">
        <f>VLOOKUP(A329,Datos!$A$2:$H$1084,4,FALSE)</f>
        <v>0.00</v>
      </c>
      <c r="D329" t="str">
        <f>VLOOKUP(A329,Datos!$A$2:$H$1084,5,FALSE)</f>
        <v>0.01</v>
      </c>
      <c r="E329" t="str">
        <f>VLOOKUP(A329,Datos!$A$2:$H$1084,6,FALSE)</f>
        <v>4.04</v>
      </c>
      <c r="F329" t="str">
        <f>VLOOKUP(A329,Datos!$A$2:$H$1084,7,FALSE)</f>
        <v>0.00</v>
      </c>
      <c r="G329" t="str">
        <f>VLOOKUP(A329,Datos!$A$2:$H$1084,8,FALSE)</f>
        <v>0.00</v>
      </c>
    </row>
    <row r="330" spans="1:7" x14ac:dyDescent="0.3">
      <c r="A330" s="1">
        <v>148110</v>
      </c>
      <c r="B330" t="str">
        <f>VLOOKUP(A330,Datos!$A$2:$H$1084,3,FALSE)</f>
        <v>46.48</v>
      </c>
      <c r="C330" t="str">
        <f>VLOOKUP(A330,Datos!$A$2:$H$1084,4,FALSE)</f>
        <v>0.01</v>
      </c>
      <c r="D330" t="str">
        <f>VLOOKUP(A330,Datos!$A$2:$H$1084,5,FALSE)</f>
        <v>0.19</v>
      </c>
      <c r="E330" t="str">
        <f>VLOOKUP(A330,Datos!$A$2:$H$1084,6,FALSE)</f>
        <v>8.30</v>
      </c>
      <c r="F330" t="str">
        <f>VLOOKUP(A330,Datos!$A$2:$H$1084,7,FALSE)</f>
        <v>0.01</v>
      </c>
      <c r="G330" t="str">
        <f>VLOOKUP(A330,Datos!$A$2:$H$1084,8,FALSE)</f>
        <v>0.02</v>
      </c>
    </row>
    <row r="331" spans="1:7" x14ac:dyDescent="0.3">
      <c r="A331" s="1">
        <v>459692</v>
      </c>
      <c r="B331" t="str">
        <f>VLOOKUP(A331,Datos!$A$2:$H$1084,3,FALSE)</f>
        <v>69.48</v>
      </c>
      <c r="C331" t="str">
        <f>VLOOKUP(A331,Datos!$A$2:$H$1084,4,FALSE)</f>
        <v>0.00</v>
      </c>
      <c r="D331" t="str">
        <f>VLOOKUP(A331,Datos!$A$2:$H$1084,5,FALSE)</f>
        <v>1.00</v>
      </c>
      <c r="E331" t="str">
        <f>VLOOKUP(A331,Datos!$A$2:$H$1084,6,FALSE)</f>
        <v>20.29</v>
      </c>
      <c r="F331" t="str">
        <f>VLOOKUP(A331,Datos!$A$2:$H$1084,7,FALSE)</f>
        <v>0.00</v>
      </c>
      <c r="G331" t="str">
        <f>VLOOKUP(A331,Datos!$A$2:$H$1084,8,FALSE)</f>
        <v>0.10</v>
      </c>
    </row>
    <row r="332" spans="1:7" x14ac:dyDescent="0.3">
      <c r="A332" s="1">
        <v>159170</v>
      </c>
      <c r="B332" t="str">
        <f>VLOOKUP(A332,Datos!$A$2:$H$1084,3,FALSE)</f>
        <v>61.04</v>
      </c>
      <c r="C332" t="str">
        <f>VLOOKUP(A332,Datos!$A$2:$H$1084,4,FALSE)</f>
        <v>0.00</v>
      </c>
      <c r="D332" t="str">
        <f>VLOOKUP(A332,Datos!$A$2:$H$1084,5,FALSE)</f>
        <v>0.23</v>
      </c>
      <c r="E332" t="str">
        <f>VLOOKUP(A332,Datos!$A$2:$H$1084,6,FALSE)</f>
        <v>5.55</v>
      </c>
      <c r="F332" t="str">
        <f>VLOOKUP(A332,Datos!$A$2:$H$1084,7,FALSE)</f>
        <v>0.00</v>
      </c>
      <c r="G332" t="str">
        <f>VLOOKUP(A332,Datos!$A$2:$H$1084,8,FALSE)</f>
        <v>0.02</v>
      </c>
    </row>
    <row r="333" spans="1:7" x14ac:dyDescent="0.3">
      <c r="A333" s="1">
        <v>168221</v>
      </c>
      <c r="B333" t="str">
        <f>VLOOKUP(A333,Datos!$A$2:$H$1084,3,FALSE)</f>
        <v>56.77</v>
      </c>
      <c r="C333" t="str">
        <f>VLOOKUP(A333,Datos!$A$2:$H$1084,4,FALSE)</f>
        <v>0.00</v>
      </c>
      <c r="D333" t="str">
        <f>VLOOKUP(A333,Datos!$A$2:$H$1084,5,FALSE)</f>
        <v>0.21</v>
      </c>
      <c r="E333" t="str">
        <f>VLOOKUP(A333,Datos!$A$2:$H$1084,6,FALSE)</f>
        <v>6.12</v>
      </c>
      <c r="F333" t="str">
        <f>VLOOKUP(A333,Datos!$A$2:$H$1084,7,FALSE)</f>
        <v>0.00</v>
      </c>
      <c r="G333" t="str">
        <f>VLOOKUP(A333,Datos!$A$2:$H$1084,8,FALSE)</f>
        <v>0.03</v>
      </c>
    </row>
    <row r="334" spans="1:7" x14ac:dyDescent="0.3">
      <c r="A334" s="1">
        <v>49025</v>
      </c>
      <c r="B334" t="str">
        <f>VLOOKUP(A334,Datos!$A$2:$H$1084,3,FALSE)</f>
        <v>68.64</v>
      </c>
      <c r="C334" t="str">
        <f>VLOOKUP(A334,Datos!$A$2:$H$1084,4,FALSE)</f>
        <v>0.00</v>
      </c>
      <c r="D334" t="str">
        <f>VLOOKUP(A334,Datos!$A$2:$H$1084,5,FALSE)</f>
        <v>0.12</v>
      </c>
      <c r="E334" t="str">
        <f>VLOOKUP(A334,Datos!$A$2:$H$1084,6,FALSE)</f>
        <v>12.88</v>
      </c>
      <c r="F334" t="str">
        <f>VLOOKUP(A334,Datos!$A$2:$H$1084,7,FALSE)</f>
        <v>0.00</v>
      </c>
      <c r="G334" t="str">
        <f>VLOOKUP(A334,Datos!$A$2:$H$1084,8,FALSE)</f>
        <v>0.02</v>
      </c>
    </row>
    <row r="335" spans="1:7" x14ac:dyDescent="0.3">
      <c r="A335" s="1">
        <v>73015</v>
      </c>
      <c r="B335" t="str">
        <f>VLOOKUP(A335,Datos!$A$2:$H$1084,3,FALSE)</f>
        <v>34.06</v>
      </c>
      <c r="C335" t="str">
        <f>VLOOKUP(A335,Datos!$A$2:$H$1084,4,FALSE)</f>
        <v>0.01</v>
      </c>
      <c r="D335" t="str">
        <f>VLOOKUP(A335,Datos!$A$2:$H$1084,5,FALSE)</f>
        <v>0.15</v>
      </c>
      <c r="E335" t="str">
        <f>VLOOKUP(A335,Datos!$A$2:$H$1084,6,FALSE)</f>
        <v>5.45</v>
      </c>
      <c r="F335" t="str">
        <f>VLOOKUP(A335,Datos!$A$2:$H$1084,7,FALSE)</f>
        <v>0.01</v>
      </c>
      <c r="G335" t="str">
        <f>VLOOKUP(A335,Datos!$A$2:$H$1084,8,FALSE)</f>
        <v>0.04</v>
      </c>
    </row>
    <row r="336" spans="1:7" x14ac:dyDescent="0.3">
      <c r="A336" s="1">
        <v>158905</v>
      </c>
      <c r="B336" t="str">
        <f>VLOOKUP(A336,Datos!$A$2:$H$1084,3,FALSE)</f>
        <v>131.05</v>
      </c>
      <c r="C336" t="str">
        <f>VLOOKUP(A336,Datos!$A$2:$H$1084,4,FALSE)</f>
        <v>0.00</v>
      </c>
      <c r="D336" t="str">
        <f>VLOOKUP(A336,Datos!$A$2:$H$1084,5,FALSE)</f>
        <v>0.83</v>
      </c>
      <c r="E336" t="str">
        <f>VLOOKUP(A336,Datos!$A$2:$H$1084,6,FALSE)</f>
        <v>8.72</v>
      </c>
      <c r="F336" t="str">
        <f>VLOOKUP(A336,Datos!$A$2:$H$1084,7,FALSE)</f>
        <v>0.00</v>
      </c>
      <c r="G336" t="str">
        <f>VLOOKUP(A336,Datos!$A$2:$H$1084,8,FALSE)</f>
        <v>0.05</v>
      </c>
    </row>
    <row r="337" spans="1:7" x14ac:dyDescent="0.3">
      <c r="A337" s="1">
        <v>59509</v>
      </c>
      <c r="B337" t="str">
        <f>VLOOKUP(A337,Datos!$A$2:$H$1084,3,FALSE)</f>
        <v>36.79</v>
      </c>
      <c r="C337" t="str">
        <f>VLOOKUP(A337,Datos!$A$2:$H$1084,4,FALSE)</f>
        <v>0.00</v>
      </c>
      <c r="D337" t="str">
        <f>VLOOKUP(A337,Datos!$A$2:$H$1084,5,FALSE)</f>
        <v>0.29</v>
      </c>
      <c r="E337" t="str">
        <f>VLOOKUP(A337,Datos!$A$2:$H$1084,6,FALSE)</f>
        <v>7.49</v>
      </c>
      <c r="F337" t="str">
        <f>VLOOKUP(A337,Datos!$A$2:$H$1084,7,FALSE)</f>
        <v>0.00</v>
      </c>
      <c r="G337" t="str">
        <f>VLOOKUP(A337,Datos!$A$2:$H$1084,8,FALSE)</f>
        <v>0.03</v>
      </c>
    </row>
    <row r="338" spans="1:7" x14ac:dyDescent="0.3">
      <c r="A338" s="1">
        <v>444479</v>
      </c>
      <c r="B338" t="str">
        <f>VLOOKUP(A338,Datos!$A$2:$H$1084,3,FALSE)</f>
        <v>49.52</v>
      </c>
      <c r="C338" t="str">
        <f>VLOOKUP(A338,Datos!$A$2:$H$1084,4,FALSE)</f>
        <v>0.00</v>
      </c>
      <c r="D338" t="str">
        <f>VLOOKUP(A338,Datos!$A$2:$H$1084,5,FALSE)</f>
        <v>0.45</v>
      </c>
      <c r="E338" t="str">
        <f>VLOOKUP(A338,Datos!$A$2:$H$1084,6,FALSE)</f>
        <v>38.94</v>
      </c>
      <c r="F338" t="str">
        <f>VLOOKUP(A338,Datos!$A$2:$H$1084,7,FALSE)</f>
        <v>0.00</v>
      </c>
      <c r="G338" t="str">
        <f>VLOOKUP(A338,Datos!$A$2:$H$1084,8,FALSE)</f>
        <v>0.05</v>
      </c>
    </row>
    <row r="339" spans="1:7" x14ac:dyDescent="0.3">
      <c r="A339" s="1">
        <v>61828</v>
      </c>
      <c r="B339" t="str">
        <f>VLOOKUP(A339,Datos!$A$2:$H$1084,3,FALSE)</f>
        <v>0.90</v>
      </c>
      <c r="C339" t="str">
        <f>VLOOKUP(A339,Datos!$A$2:$H$1084,4,FALSE)</f>
        <v>0.00</v>
      </c>
      <c r="D339" t="str">
        <f>VLOOKUP(A339,Datos!$A$2:$H$1084,5,FALSE)</f>
        <v>0.00</v>
      </c>
      <c r="E339" t="str">
        <f>VLOOKUP(A339,Datos!$A$2:$H$1084,6,FALSE)</f>
        <v>0.99</v>
      </c>
      <c r="F339" t="str">
        <f>VLOOKUP(A339,Datos!$A$2:$H$1084,7,FALSE)</f>
        <v>0.00</v>
      </c>
      <c r="G339" t="str">
        <f>VLOOKUP(A339,Datos!$A$2:$H$1084,8,FALSE)</f>
        <v>0.00</v>
      </c>
    </row>
    <row r="340" spans="1:7" x14ac:dyDescent="0.3">
      <c r="A340" s="1">
        <v>62601</v>
      </c>
      <c r="B340" t="str">
        <f>VLOOKUP(A340,Datos!$A$2:$H$1084,3,FALSE)</f>
        <v>51.99</v>
      </c>
      <c r="C340" t="str">
        <f>VLOOKUP(A340,Datos!$A$2:$H$1084,4,FALSE)</f>
        <v>0.00</v>
      </c>
      <c r="D340" t="str">
        <f>VLOOKUP(A340,Datos!$A$2:$H$1084,5,FALSE)</f>
        <v>0.81</v>
      </c>
      <c r="E340" t="str">
        <f>VLOOKUP(A340,Datos!$A$2:$H$1084,6,FALSE)</f>
        <v>6.32</v>
      </c>
      <c r="F340" t="str">
        <f>VLOOKUP(A340,Datos!$A$2:$H$1084,7,FALSE)</f>
        <v>0.00</v>
      </c>
      <c r="G340" t="str">
        <f>VLOOKUP(A340,Datos!$A$2:$H$1084,8,FALSE)</f>
        <v>0.05</v>
      </c>
    </row>
    <row r="341" spans="1:7" x14ac:dyDescent="0.3">
      <c r="A341" s="1">
        <v>60466</v>
      </c>
      <c r="B341" t="str">
        <f>VLOOKUP(A341,Datos!$A$2:$H$1084,3,FALSE)</f>
        <v>43.01</v>
      </c>
      <c r="C341" t="str">
        <f>VLOOKUP(A341,Datos!$A$2:$H$1084,4,FALSE)</f>
        <v>0.01</v>
      </c>
      <c r="D341" t="str">
        <f>VLOOKUP(A341,Datos!$A$2:$H$1084,5,FALSE)</f>
        <v>0.39</v>
      </c>
      <c r="E341" t="str">
        <f>VLOOKUP(A341,Datos!$A$2:$H$1084,6,FALSE)</f>
        <v>27.59</v>
      </c>
      <c r="F341" t="str">
        <f>VLOOKUP(A341,Datos!$A$2:$H$1084,7,FALSE)</f>
        <v>0.01</v>
      </c>
      <c r="G341" t="str">
        <f>VLOOKUP(A341,Datos!$A$2:$H$1084,8,FALSE)</f>
        <v>0.08</v>
      </c>
    </row>
    <row r="342" spans="1:7" x14ac:dyDescent="0.3">
      <c r="A342" s="1">
        <v>155105</v>
      </c>
      <c r="B342" t="str">
        <f>VLOOKUP(A342,Datos!$A$2:$H$1084,3,FALSE)</f>
        <v>15.41</v>
      </c>
      <c r="C342" t="str">
        <f>VLOOKUP(A342,Datos!$A$2:$H$1084,4,FALSE)</f>
        <v>0.00</v>
      </c>
      <c r="D342" t="str">
        <f>VLOOKUP(A342,Datos!$A$2:$H$1084,5,FALSE)</f>
        <v>0.09</v>
      </c>
      <c r="E342" t="str">
        <f>VLOOKUP(A342,Datos!$A$2:$H$1084,6,FALSE)</f>
        <v>4.35</v>
      </c>
      <c r="F342" t="str">
        <f>VLOOKUP(A342,Datos!$A$2:$H$1084,7,FALSE)</f>
        <v>0.00</v>
      </c>
      <c r="G342" t="str">
        <f>VLOOKUP(A342,Datos!$A$2:$H$1084,8,FALSE)</f>
        <v>0.01</v>
      </c>
    </row>
    <row r="343" spans="1:7" x14ac:dyDescent="0.3">
      <c r="A343" s="1">
        <v>149553</v>
      </c>
      <c r="B343" t="str">
        <f>VLOOKUP(A343,Datos!$A$2:$H$1084,3,FALSE)</f>
        <v>28.69</v>
      </c>
      <c r="C343" t="str">
        <f>VLOOKUP(A343,Datos!$A$2:$H$1084,4,FALSE)</f>
        <v>0.00</v>
      </c>
      <c r="D343" t="str">
        <f>VLOOKUP(A343,Datos!$A$2:$H$1084,5,FALSE)</f>
        <v>0.02</v>
      </c>
      <c r="E343" t="str">
        <f>VLOOKUP(A343,Datos!$A$2:$H$1084,6,FALSE)</f>
        <v>1.89</v>
      </c>
      <c r="F343" t="str">
        <f>VLOOKUP(A343,Datos!$A$2:$H$1084,7,FALSE)</f>
        <v>0.00</v>
      </c>
      <c r="G343" t="str">
        <f>VLOOKUP(A343,Datos!$A$2:$H$1084,8,FALSE)</f>
        <v>0.01</v>
      </c>
    </row>
    <row r="344" spans="1:7" x14ac:dyDescent="0.3">
      <c r="A344" s="1">
        <v>170158</v>
      </c>
      <c r="B344" t="str">
        <f>VLOOKUP(A344,Datos!$A$2:$H$1084,3,FALSE)</f>
        <v>29.75</v>
      </c>
      <c r="C344" t="str">
        <f>VLOOKUP(A344,Datos!$A$2:$H$1084,4,FALSE)</f>
        <v>0.00</v>
      </c>
      <c r="D344" t="str">
        <f>VLOOKUP(A344,Datos!$A$2:$H$1084,5,FALSE)</f>
        <v>0.16</v>
      </c>
      <c r="E344" t="str">
        <f>VLOOKUP(A344,Datos!$A$2:$H$1084,6,FALSE)</f>
        <v>30.78</v>
      </c>
      <c r="F344" t="str">
        <f>VLOOKUP(A344,Datos!$A$2:$H$1084,7,FALSE)</f>
        <v>0.00</v>
      </c>
      <c r="G344" t="str">
        <f>VLOOKUP(A344,Datos!$A$2:$H$1084,8,FALSE)</f>
        <v>0.02</v>
      </c>
    </row>
    <row r="345" spans="1:7" x14ac:dyDescent="0.3">
      <c r="A345" s="1">
        <v>533215</v>
      </c>
      <c r="B345" t="str">
        <f>VLOOKUP(A345,Datos!$A$2:$H$1084,3,FALSE)</f>
        <v>50.33</v>
      </c>
      <c r="C345" t="str">
        <f>VLOOKUP(A345,Datos!$A$2:$H$1084,4,FALSE)</f>
        <v>0.00</v>
      </c>
      <c r="D345" t="str">
        <f>VLOOKUP(A345,Datos!$A$2:$H$1084,5,FALSE)</f>
        <v>0.11</v>
      </c>
      <c r="E345" t="str">
        <f>VLOOKUP(A345,Datos!$A$2:$H$1084,6,FALSE)</f>
        <v>15.08</v>
      </c>
      <c r="F345" t="str">
        <f>VLOOKUP(A345,Datos!$A$2:$H$1084,7,FALSE)</f>
        <v>0.00</v>
      </c>
      <c r="G345" t="str">
        <f>VLOOKUP(A345,Datos!$A$2:$H$1084,8,FALSE)</f>
        <v>0.02</v>
      </c>
    </row>
    <row r="346" spans="1:7" x14ac:dyDescent="0.3">
      <c r="A346" s="1">
        <v>457909</v>
      </c>
      <c r="B346" t="str">
        <f>VLOOKUP(A346,Datos!$A$2:$H$1084,3,FALSE)</f>
        <v>41.41</v>
      </c>
      <c r="C346" t="str">
        <f>VLOOKUP(A346,Datos!$A$2:$H$1084,4,FALSE)</f>
        <v>0.00</v>
      </c>
      <c r="D346" t="str">
        <f>VLOOKUP(A346,Datos!$A$2:$H$1084,5,FALSE)</f>
        <v>1.13</v>
      </c>
      <c r="E346" t="str">
        <f>VLOOKUP(A346,Datos!$A$2:$H$1084,6,FALSE)</f>
        <v>7.43</v>
      </c>
      <c r="F346" t="str">
        <f>VLOOKUP(A346,Datos!$A$2:$H$1084,7,FALSE)</f>
        <v>0.00</v>
      </c>
      <c r="G346" t="str">
        <f>VLOOKUP(A346,Datos!$A$2:$H$1084,8,FALSE)</f>
        <v>0.07</v>
      </c>
    </row>
    <row r="347" spans="1:7" x14ac:dyDescent="0.3">
      <c r="A347" s="1">
        <v>463608</v>
      </c>
      <c r="B347" t="str">
        <f>VLOOKUP(A347,Datos!$A$2:$H$1084,3,FALSE)</f>
        <v>52.43</v>
      </c>
      <c r="C347" t="str">
        <f>VLOOKUP(A347,Datos!$A$2:$H$1084,4,FALSE)</f>
        <v>0.00</v>
      </c>
      <c r="D347" t="str">
        <f>VLOOKUP(A347,Datos!$A$2:$H$1084,5,FALSE)</f>
        <v>0.13</v>
      </c>
      <c r="E347" t="str">
        <f>VLOOKUP(A347,Datos!$A$2:$H$1084,6,FALSE)</f>
        <v>5.99</v>
      </c>
      <c r="F347" t="str">
        <f>VLOOKUP(A347,Datos!$A$2:$H$1084,7,FALSE)</f>
        <v>0.00</v>
      </c>
      <c r="G347" t="str">
        <f>VLOOKUP(A347,Datos!$A$2:$H$1084,8,FALSE)</f>
        <v>0.02</v>
      </c>
    </row>
    <row r="348" spans="1:7" x14ac:dyDescent="0.3">
      <c r="A348" s="1">
        <v>468385</v>
      </c>
      <c r="B348" t="str">
        <f>VLOOKUP(A348,Datos!$A$2:$H$1084,3,FALSE)</f>
        <v>48.27</v>
      </c>
      <c r="C348" t="str">
        <f>VLOOKUP(A348,Datos!$A$2:$H$1084,4,FALSE)</f>
        <v>0.00</v>
      </c>
      <c r="D348" t="str">
        <f>VLOOKUP(A348,Datos!$A$2:$H$1084,5,FALSE)</f>
        <v>0.89</v>
      </c>
      <c r="E348" t="str">
        <f>VLOOKUP(A348,Datos!$A$2:$H$1084,6,FALSE)</f>
        <v>9.58</v>
      </c>
      <c r="F348" t="str">
        <f>VLOOKUP(A348,Datos!$A$2:$H$1084,7,FALSE)</f>
        <v>0.00</v>
      </c>
      <c r="G348" t="str">
        <f>VLOOKUP(A348,Datos!$A$2:$H$1084,8,FALSE)</f>
        <v>0.14</v>
      </c>
    </row>
    <row r="349" spans="1:7" x14ac:dyDescent="0.3">
      <c r="A349" s="1">
        <v>149567</v>
      </c>
      <c r="B349" t="str">
        <f>VLOOKUP(A349,Datos!$A$2:$H$1084,3,FALSE)</f>
        <v>52.81</v>
      </c>
      <c r="C349" t="str">
        <f>VLOOKUP(A349,Datos!$A$2:$H$1084,4,FALSE)</f>
        <v>0.00</v>
      </c>
      <c r="D349" t="str">
        <f>VLOOKUP(A349,Datos!$A$2:$H$1084,5,FALSE)</f>
        <v>0.84</v>
      </c>
      <c r="E349" t="str">
        <f>VLOOKUP(A349,Datos!$A$2:$H$1084,6,FALSE)</f>
        <v>23.20</v>
      </c>
      <c r="F349" t="str">
        <f>VLOOKUP(A349,Datos!$A$2:$H$1084,7,FALSE)</f>
        <v>0.00</v>
      </c>
      <c r="G349" t="str">
        <f>VLOOKUP(A349,Datos!$A$2:$H$1084,8,FALSE)</f>
        <v>0.07</v>
      </c>
    </row>
    <row r="350" spans="1:7" x14ac:dyDescent="0.3">
      <c r="A350" s="1">
        <v>120192</v>
      </c>
      <c r="B350" t="str">
        <f>VLOOKUP(A350,Datos!$A$2:$H$1084,3,FALSE)</f>
        <v>43.62</v>
      </c>
      <c r="C350" t="str">
        <f>VLOOKUP(A350,Datos!$A$2:$H$1084,4,FALSE)</f>
        <v>0.01</v>
      </c>
      <c r="D350" t="str">
        <f>VLOOKUP(A350,Datos!$A$2:$H$1084,5,FALSE)</f>
        <v>3.28</v>
      </c>
      <c r="E350" t="str">
        <f>VLOOKUP(A350,Datos!$A$2:$H$1084,6,FALSE)</f>
        <v>4.21</v>
      </c>
      <c r="F350" t="str">
        <f>VLOOKUP(A350,Datos!$A$2:$H$1084,7,FALSE)</f>
        <v>0.01</v>
      </c>
      <c r="G350" t="str">
        <f>VLOOKUP(A350,Datos!$A$2:$H$1084,8,FALSE)</f>
        <v>0.20</v>
      </c>
    </row>
    <row r="351" spans="1:7" x14ac:dyDescent="0.3">
      <c r="A351" s="1">
        <v>168117</v>
      </c>
      <c r="B351" t="str">
        <f>VLOOKUP(A351,Datos!$A$2:$H$1084,3,FALSE)</f>
        <v>125.19</v>
      </c>
      <c r="C351" t="str">
        <f>VLOOKUP(A351,Datos!$A$2:$H$1084,4,FALSE)</f>
        <v>0.00</v>
      </c>
      <c r="D351" t="str">
        <f>VLOOKUP(A351,Datos!$A$2:$H$1084,5,FALSE)</f>
        <v>0.76</v>
      </c>
      <c r="E351" t="str">
        <f>VLOOKUP(A351,Datos!$A$2:$H$1084,6,FALSE)</f>
        <v>13.20</v>
      </c>
      <c r="F351" t="str">
        <f>VLOOKUP(A351,Datos!$A$2:$H$1084,7,FALSE)</f>
        <v>0.00</v>
      </c>
      <c r="G351" t="str">
        <f>VLOOKUP(A351,Datos!$A$2:$H$1084,8,FALSE)</f>
        <v>0.12</v>
      </c>
    </row>
    <row r="352" spans="1:7" x14ac:dyDescent="0.3">
      <c r="A352" s="1">
        <v>72799</v>
      </c>
      <c r="B352" t="str">
        <f>VLOOKUP(A352,Datos!$A$2:$H$1084,3,FALSE)</f>
        <v>23.41</v>
      </c>
      <c r="C352" t="str">
        <f>VLOOKUP(A352,Datos!$A$2:$H$1084,4,FALSE)</f>
        <v>0.01</v>
      </c>
      <c r="D352" t="str">
        <f>VLOOKUP(A352,Datos!$A$2:$H$1084,5,FALSE)</f>
        <v>0.07</v>
      </c>
      <c r="E352" t="str">
        <f>VLOOKUP(A352,Datos!$A$2:$H$1084,6,FALSE)</f>
        <v>1.77</v>
      </c>
      <c r="F352" t="str">
        <f>VLOOKUP(A352,Datos!$A$2:$H$1084,7,FALSE)</f>
        <v>0.01</v>
      </c>
      <c r="G352" t="str">
        <f>VLOOKUP(A352,Datos!$A$2:$H$1084,8,FALSE)</f>
        <v>0.03</v>
      </c>
    </row>
    <row r="353" spans="1:7" x14ac:dyDescent="0.3">
      <c r="A353" s="1">
        <v>460332</v>
      </c>
      <c r="B353" t="str">
        <f>VLOOKUP(A353,Datos!$A$2:$H$1084,3,FALSE)</f>
        <v>98.19</v>
      </c>
      <c r="C353" t="str">
        <f>VLOOKUP(A353,Datos!$A$2:$H$1084,4,FALSE)</f>
        <v>0.00</v>
      </c>
      <c r="D353" t="str">
        <f>VLOOKUP(A353,Datos!$A$2:$H$1084,5,FALSE)</f>
        <v>1.64</v>
      </c>
      <c r="E353" t="str">
        <f>VLOOKUP(A353,Datos!$A$2:$H$1084,6,FALSE)</f>
        <v>33.12</v>
      </c>
      <c r="F353" t="str">
        <f>VLOOKUP(A353,Datos!$A$2:$H$1084,7,FALSE)</f>
        <v>0.00</v>
      </c>
      <c r="G353" t="str">
        <f>VLOOKUP(A353,Datos!$A$2:$H$1084,8,FALSE)</f>
        <v>0.21</v>
      </c>
    </row>
    <row r="354" spans="1:7" x14ac:dyDescent="0.3">
      <c r="A354" s="1">
        <v>149039</v>
      </c>
      <c r="B354" t="str">
        <f>VLOOKUP(A354,Datos!$A$2:$H$1084,3,FALSE)</f>
        <v>38.49</v>
      </c>
      <c r="C354" t="str">
        <f>VLOOKUP(A354,Datos!$A$2:$H$1084,4,FALSE)</f>
        <v>0.01</v>
      </c>
      <c r="D354" t="str">
        <f>VLOOKUP(A354,Datos!$A$2:$H$1084,5,FALSE)</f>
        <v>0.35</v>
      </c>
      <c r="E354" t="str">
        <f>VLOOKUP(A354,Datos!$A$2:$H$1084,6,FALSE)</f>
        <v>13.23</v>
      </c>
      <c r="F354" t="str">
        <f>VLOOKUP(A354,Datos!$A$2:$H$1084,7,FALSE)</f>
        <v>0.01</v>
      </c>
      <c r="G354" t="str">
        <f>VLOOKUP(A354,Datos!$A$2:$H$1084,8,FALSE)</f>
        <v>0.03</v>
      </c>
    </row>
    <row r="355" spans="1:7" x14ac:dyDescent="0.3">
      <c r="A355" s="1">
        <v>54390</v>
      </c>
      <c r="B355" t="str">
        <f>VLOOKUP(A355,Datos!$A$2:$H$1084,3,FALSE)</f>
        <v>53.76</v>
      </c>
      <c r="C355" t="str">
        <f>VLOOKUP(A355,Datos!$A$2:$H$1084,4,FALSE)</f>
        <v>0.00</v>
      </c>
      <c r="D355" t="str">
        <f>VLOOKUP(A355,Datos!$A$2:$H$1084,5,FALSE)</f>
        <v>2.00</v>
      </c>
      <c r="E355" t="str">
        <f>VLOOKUP(A355,Datos!$A$2:$H$1084,6,FALSE)</f>
        <v>19.85</v>
      </c>
      <c r="F355" t="str">
        <f>VLOOKUP(A355,Datos!$A$2:$H$1084,7,FALSE)</f>
        <v>0.00</v>
      </c>
      <c r="G355" t="str">
        <f>VLOOKUP(A355,Datos!$A$2:$H$1084,8,FALSE)</f>
        <v>0.29</v>
      </c>
    </row>
    <row r="356" spans="1:7" x14ac:dyDescent="0.3">
      <c r="A356" s="1">
        <v>62470</v>
      </c>
      <c r="B356" t="str">
        <f>VLOOKUP(A356,Datos!$A$2:$H$1084,3,FALSE)</f>
        <v>10.93</v>
      </c>
      <c r="C356" t="str">
        <f>VLOOKUP(A356,Datos!$A$2:$H$1084,4,FALSE)</f>
        <v>0.00</v>
      </c>
      <c r="D356" t="str">
        <f>VLOOKUP(A356,Datos!$A$2:$H$1084,5,FALSE)</f>
        <v>0.02</v>
      </c>
      <c r="E356" t="str">
        <f>VLOOKUP(A356,Datos!$A$2:$H$1084,6,FALSE)</f>
        <v>1.65</v>
      </c>
      <c r="F356" t="str">
        <f>VLOOKUP(A356,Datos!$A$2:$H$1084,7,FALSE)</f>
        <v>0.00</v>
      </c>
      <c r="G356" t="str">
        <f>VLOOKUP(A356,Datos!$A$2:$H$1084,8,FALSE)</f>
        <v>0.00</v>
      </c>
    </row>
    <row r="357" spans="1:7" x14ac:dyDescent="0.3">
      <c r="A357" s="1">
        <v>59566</v>
      </c>
      <c r="B357" t="str">
        <f>VLOOKUP(A357,Datos!$A$2:$H$1084,3,FALSE)</f>
        <v>22.90</v>
      </c>
      <c r="C357" t="str">
        <f>VLOOKUP(A357,Datos!$A$2:$H$1084,4,FALSE)</f>
        <v>0.00</v>
      </c>
      <c r="D357" t="str">
        <f>VLOOKUP(A357,Datos!$A$2:$H$1084,5,FALSE)</f>
        <v>0.01</v>
      </c>
      <c r="E357" t="str">
        <f>VLOOKUP(A357,Datos!$A$2:$H$1084,6,FALSE)</f>
        <v>0.88</v>
      </c>
      <c r="F357" t="str">
        <f>VLOOKUP(A357,Datos!$A$2:$H$1084,7,FALSE)</f>
        <v>0.00</v>
      </c>
      <c r="G357" t="str">
        <f>VLOOKUP(A357,Datos!$A$2:$H$1084,8,FALSE)</f>
        <v>0.00</v>
      </c>
    </row>
    <row r="358" spans="1:7" x14ac:dyDescent="0.3">
      <c r="A358" s="1">
        <v>548226</v>
      </c>
      <c r="B358" t="str">
        <f>VLOOKUP(A358,Datos!$A$2:$H$1084,3,FALSE)</f>
        <v>21.94</v>
      </c>
      <c r="C358" t="str">
        <f>VLOOKUP(A358,Datos!$A$2:$H$1084,4,FALSE)</f>
        <v>0.00</v>
      </c>
      <c r="D358" t="str">
        <f>VLOOKUP(A358,Datos!$A$2:$H$1084,5,FALSE)</f>
        <v>0.03</v>
      </c>
      <c r="E358" t="str">
        <f>VLOOKUP(A358,Datos!$A$2:$H$1084,6,FALSE)</f>
        <v>1.07</v>
      </c>
      <c r="F358" t="str">
        <f>VLOOKUP(A358,Datos!$A$2:$H$1084,7,FALSE)</f>
        <v>0.00</v>
      </c>
      <c r="G358" t="str">
        <f>VLOOKUP(A358,Datos!$A$2:$H$1084,8,FALSE)</f>
        <v>0.01</v>
      </c>
    </row>
    <row r="359" spans="1:7" x14ac:dyDescent="0.3">
      <c r="A359" s="1">
        <v>152970</v>
      </c>
      <c r="B359" t="str">
        <f>VLOOKUP(A359,Datos!$A$2:$H$1084,3,FALSE)</f>
        <v>52.22</v>
      </c>
      <c r="C359" t="str">
        <f>VLOOKUP(A359,Datos!$A$2:$H$1084,4,FALSE)</f>
        <v>0.00</v>
      </c>
      <c r="D359" t="str">
        <f>VLOOKUP(A359,Datos!$A$2:$H$1084,5,FALSE)</f>
        <v>0.25</v>
      </c>
      <c r="E359" t="str">
        <f>VLOOKUP(A359,Datos!$A$2:$H$1084,6,FALSE)</f>
        <v>13.41</v>
      </c>
      <c r="F359" t="str">
        <f>VLOOKUP(A359,Datos!$A$2:$H$1084,7,FALSE)</f>
        <v>0.00</v>
      </c>
      <c r="G359" t="str">
        <f>VLOOKUP(A359,Datos!$A$2:$H$1084,8,FALSE)</f>
        <v>0.03</v>
      </c>
    </row>
    <row r="360" spans="1:7" x14ac:dyDescent="0.3">
      <c r="A360" s="1">
        <v>441536</v>
      </c>
      <c r="B360" t="str">
        <f>VLOOKUP(A360,Datos!$A$2:$H$1084,3,FALSE)</f>
        <v>51.10</v>
      </c>
      <c r="C360" t="str">
        <f>VLOOKUP(A360,Datos!$A$2:$H$1084,4,FALSE)</f>
        <v>0.00</v>
      </c>
      <c r="D360" t="str">
        <f>VLOOKUP(A360,Datos!$A$2:$H$1084,5,FALSE)</f>
        <v>0.29</v>
      </c>
      <c r="E360" t="str">
        <f>VLOOKUP(A360,Datos!$A$2:$H$1084,6,FALSE)</f>
        <v>8.09</v>
      </c>
      <c r="F360" t="str">
        <f>VLOOKUP(A360,Datos!$A$2:$H$1084,7,FALSE)</f>
        <v>0.00</v>
      </c>
      <c r="G360" t="str">
        <f>VLOOKUP(A360,Datos!$A$2:$H$1084,8,FALSE)</f>
        <v>0.03</v>
      </c>
    </row>
    <row r="361" spans="1:7" x14ac:dyDescent="0.3">
      <c r="A361" s="1">
        <v>74251</v>
      </c>
      <c r="B361" t="str">
        <f>VLOOKUP(A361,Datos!$A$2:$H$1084,3,FALSE)</f>
        <v>44.20</v>
      </c>
      <c r="C361" t="str">
        <f>VLOOKUP(A361,Datos!$A$2:$H$1084,4,FALSE)</f>
        <v>0.00</v>
      </c>
      <c r="D361" t="str">
        <f>VLOOKUP(A361,Datos!$A$2:$H$1084,5,FALSE)</f>
        <v>0.31</v>
      </c>
      <c r="E361" t="str">
        <f>VLOOKUP(A361,Datos!$A$2:$H$1084,6,FALSE)</f>
        <v>4.62</v>
      </c>
      <c r="F361" t="str">
        <f>VLOOKUP(A361,Datos!$A$2:$H$1084,7,FALSE)</f>
        <v>0.00</v>
      </c>
      <c r="G361" t="str">
        <f>VLOOKUP(A361,Datos!$A$2:$H$1084,8,FALSE)</f>
        <v>0.03</v>
      </c>
    </row>
    <row r="362" spans="1:7" x14ac:dyDescent="0.3">
      <c r="A362" s="1">
        <v>464009</v>
      </c>
      <c r="B362" t="str">
        <f>VLOOKUP(A362,Datos!$A$2:$H$1084,3,FALSE)</f>
        <v>48.85</v>
      </c>
      <c r="C362" t="str">
        <f>VLOOKUP(A362,Datos!$A$2:$H$1084,4,FALSE)</f>
        <v>0.00</v>
      </c>
      <c r="D362" t="str">
        <f>VLOOKUP(A362,Datos!$A$2:$H$1084,5,FALSE)</f>
        <v>0.36</v>
      </c>
      <c r="E362" t="str">
        <f>VLOOKUP(A362,Datos!$A$2:$H$1084,6,FALSE)</f>
        <v>23.78</v>
      </c>
      <c r="F362" t="str">
        <f>VLOOKUP(A362,Datos!$A$2:$H$1084,7,FALSE)</f>
        <v>0.00</v>
      </c>
      <c r="G362" t="str">
        <f>VLOOKUP(A362,Datos!$A$2:$H$1084,8,FALSE)</f>
        <v>0.06</v>
      </c>
    </row>
    <row r="363" spans="1:7" x14ac:dyDescent="0.3">
      <c r="A363" s="1">
        <v>161922</v>
      </c>
      <c r="B363" t="str">
        <f>VLOOKUP(A363,Datos!$A$2:$H$1084,3,FALSE)</f>
        <v>52.40</v>
      </c>
      <c r="C363" t="str">
        <f>VLOOKUP(A363,Datos!$A$2:$H$1084,4,FALSE)</f>
        <v>0.00</v>
      </c>
      <c r="D363" t="str">
        <f>VLOOKUP(A363,Datos!$A$2:$H$1084,5,FALSE)</f>
        <v>0.47</v>
      </c>
      <c r="E363" t="str">
        <f>VLOOKUP(A363,Datos!$A$2:$H$1084,6,FALSE)</f>
        <v>9.06</v>
      </c>
      <c r="F363" t="str">
        <f>VLOOKUP(A363,Datos!$A$2:$H$1084,7,FALSE)</f>
        <v>0.00</v>
      </c>
      <c r="G363" t="str">
        <f>VLOOKUP(A363,Datos!$A$2:$H$1084,8,FALSE)</f>
        <v>0.04</v>
      </c>
    </row>
    <row r="364" spans="1:7" x14ac:dyDescent="0.3">
      <c r="A364" s="1">
        <v>43207</v>
      </c>
      <c r="B364" t="str">
        <f>VLOOKUP(A364,Datos!$A$2:$H$1084,3,FALSE)</f>
        <v>109.09</v>
      </c>
      <c r="C364" t="str">
        <f>VLOOKUP(A364,Datos!$A$2:$H$1084,4,FALSE)</f>
        <v>0.00</v>
      </c>
      <c r="D364" t="str">
        <f>VLOOKUP(A364,Datos!$A$2:$H$1084,5,FALSE)</f>
        <v>1.21</v>
      </c>
      <c r="E364" t="str">
        <f>VLOOKUP(A364,Datos!$A$2:$H$1084,6,FALSE)</f>
        <v>28.16</v>
      </c>
      <c r="F364" t="str">
        <f>VLOOKUP(A364,Datos!$A$2:$H$1084,7,FALSE)</f>
        <v>0.00</v>
      </c>
      <c r="G364" t="str">
        <f>VLOOKUP(A364,Datos!$A$2:$H$1084,8,FALSE)</f>
        <v>0.19</v>
      </c>
    </row>
    <row r="365" spans="1:7" x14ac:dyDescent="0.3">
      <c r="A365" s="1">
        <v>159207</v>
      </c>
      <c r="B365" t="str">
        <f>VLOOKUP(A365,Datos!$A$2:$H$1084,3,FALSE)</f>
        <v>77.78</v>
      </c>
      <c r="C365" t="str">
        <f>VLOOKUP(A365,Datos!$A$2:$H$1084,4,FALSE)</f>
        <v>0.00</v>
      </c>
      <c r="D365" t="str">
        <f>VLOOKUP(A365,Datos!$A$2:$H$1084,5,FALSE)</f>
        <v>0.23</v>
      </c>
      <c r="E365" t="str">
        <f>VLOOKUP(A365,Datos!$A$2:$H$1084,6,FALSE)</f>
        <v>3.45</v>
      </c>
      <c r="F365" t="str">
        <f>VLOOKUP(A365,Datos!$A$2:$H$1084,7,FALSE)</f>
        <v>0.00</v>
      </c>
      <c r="G365" t="str">
        <f>VLOOKUP(A365,Datos!$A$2:$H$1084,8,FALSE)</f>
        <v>0.02</v>
      </c>
    </row>
    <row r="366" spans="1:7" x14ac:dyDescent="0.3">
      <c r="A366" s="1">
        <v>610746</v>
      </c>
      <c r="B366" t="str">
        <f>VLOOKUP(A366,Datos!$A$2:$H$1084,3,FALSE)</f>
        <v>67.58</v>
      </c>
      <c r="C366" t="str">
        <f>VLOOKUP(A366,Datos!$A$2:$H$1084,4,FALSE)</f>
        <v>0.00</v>
      </c>
      <c r="D366" t="str">
        <f>VLOOKUP(A366,Datos!$A$2:$H$1084,5,FALSE)</f>
        <v>2.53</v>
      </c>
      <c r="E366" t="str">
        <f>VLOOKUP(A366,Datos!$A$2:$H$1084,6,FALSE)</f>
        <v>13.62</v>
      </c>
      <c r="F366" t="str">
        <f>VLOOKUP(A366,Datos!$A$2:$H$1084,7,FALSE)</f>
        <v>0.00</v>
      </c>
      <c r="G366" t="str">
        <f>VLOOKUP(A366,Datos!$A$2:$H$1084,8,FALSE)</f>
        <v>0.40</v>
      </c>
    </row>
    <row r="367" spans="1:7" x14ac:dyDescent="0.3">
      <c r="A367" s="1">
        <v>72285</v>
      </c>
      <c r="B367" t="str">
        <f>VLOOKUP(A367,Datos!$A$2:$H$1084,3,FALSE)</f>
        <v>81.61</v>
      </c>
      <c r="C367" t="str">
        <f>VLOOKUP(A367,Datos!$A$2:$H$1084,4,FALSE)</f>
        <v>0.00</v>
      </c>
      <c r="D367" t="str">
        <f>VLOOKUP(A367,Datos!$A$2:$H$1084,5,FALSE)</f>
        <v>0.61</v>
      </c>
      <c r="E367" t="str">
        <f>VLOOKUP(A367,Datos!$A$2:$H$1084,6,FALSE)</f>
        <v>10.28</v>
      </c>
      <c r="F367" t="str">
        <f>VLOOKUP(A367,Datos!$A$2:$H$1084,7,FALSE)</f>
        <v>0.01</v>
      </c>
      <c r="G367" t="str">
        <f>VLOOKUP(A367,Datos!$A$2:$H$1084,8,FALSE)</f>
        <v>0.06</v>
      </c>
    </row>
    <row r="368" spans="1:7" x14ac:dyDescent="0.3">
      <c r="A368" s="1">
        <v>459357</v>
      </c>
      <c r="B368" t="str">
        <f>VLOOKUP(A368,Datos!$A$2:$H$1084,3,FALSE)</f>
        <v>92.42</v>
      </c>
      <c r="C368" t="str">
        <f>VLOOKUP(A368,Datos!$A$2:$H$1084,4,FALSE)</f>
        <v>0.00</v>
      </c>
      <c r="D368" t="str">
        <f>VLOOKUP(A368,Datos!$A$2:$H$1084,5,FALSE)</f>
        <v>0.95</v>
      </c>
      <c r="E368" t="str">
        <f>VLOOKUP(A368,Datos!$A$2:$H$1084,6,FALSE)</f>
        <v>27.16</v>
      </c>
      <c r="F368" t="str">
        <f>VLOOKUP(A368,Datos!$A$2:$H$1084,7,FALSE)</f>
        <v>0.00</v>
      </c>
      <c r="G368" t="str">
        <f>VLOOKUP(A368,Datos!$A$2:$H$1084,8,FALSE)</f>
        <v>0.08</v>
      </c>
    </row>
    <row r="369" spans="1:7" x14ac:dyDescent="0.3">
      <c r="A369" s="1">
        <v>786236</v>
      </c>
      <c r="B369" t="str">
        <f>VLOOKUP(A369,Datos!$A$2:$H$1084,3,FALSE)</f>
        <v>50.51</v>
      </c>
      <c r="C369" t="str">
        <f>VLOOKUP(A369,Datos!$A$2:$H$1084,4,FALSE)</f>
        <v>0.00</v>
      </c>
      <c r="D369" t="str">
        <f>VLOOKUP(A369,Datos!$A$2:$H$1084,5,FALSE)</f>
        <v>0.47</v>
      </c>
      <c r="E369" t="str">
        <f>VLOOKUP(A369,Datos!$A$2:$H$1084,6,FALSE)</f>
        <v>38.27</v>
      </c>
      <c r="F369" t="str">
        <f>VLOOKUP(A369,Datos!$A$2:$H$1084,7,FALSE)</f>
        <v>0.00</v>
      </c>
      <c r="G369" t="str">
        <f>VLOOKUP(A369,Datos!$A$2:$H$1084,8,FALSE)</f>
        <v>0.07</v>
      </c>
    </row>
    <row r="370" spans="1:7" x14ac:dyDescent="0.3">
      <c r="A370" s="1">
        <v>63573</v>
      </c>
      <c r="B370" t="str">
        <f>VLOOKUP(A370,Datos!$A$2:$H$1084,3,FALSE)</f>
        <v>65.40</v>
      </c>
      <c r="C370" t="str">
        <f>VLOOKUP(A370,Datos!$A$2:$H$1084,4,FALSE)</f>
        <v>0.00</v>
      </c>
      <c r="D370" t="str">
        <f>VLOOKUP(A370,Datos!$A$2:$H$1084,5,FALSE)</f>
        <v>0.07</v>
      </c>
      <c r="E370" t="str">
        <f>VLOOKUP(A370,Datos!$A$2:$H$1084,6,FALSE)</f>
        <v>8.92</v>
      </c>
      <c r="F370" t="str">
        <f>VLOOKUP(A370,Datos!$A$2:$H$1084,7,FALSE)</f>
        <v>0.00</v>
      </c>
      <c r="G370" t="str">
        <f>VLOOKUP(A370,Datos!$A$2:$H$1084,8,FALSE)</f>
        <v>0.02</v>
      </c>
    </row>
    <row r="371" spans="1:7" x14ac:dyDescent="0.3">
      <c r="A371" s="1">
        <v>62856</v>
      </c>
      <c r="B371" t="str">
        <f>VLOOKUP(A371,Datos!$A$2:$H$1084,3,FALSE)</f>
        <v>23.51</v>
      </c>
      <c r="C371" t="str">
        <f>VLOOKUP(A371,Datos!$A$2:$H$1084,4,FALSE)</f>
        <v>0.00</v>
      </c>
      <c r="D371" t="str">
        <f>VLOOKUP(A371,Datos!$A$2:$H$1084,5,FALSE)</f>
        <v>0.09</v>
      </c>
      <c r="E371" t="str">
        <f>VLOOKUP(A371,Datos!$A$2:$H$1084,6,FALSE)</f>
        <v>0.58</v>
      </c>
      <c r="F371" t="str">
        <f>VLOOKUP(A371,Datos!$A$2:$H$1084,7,FALSE)</f>
        <v>0.00</v>
      </c>
      <c r="G371" t="str">
        <f>VLOOKUP(A371,Datos!$A$2:$H$1084,8,FALSE)</f>
        <v>0.01</v>
      </c>
    </row>
    <row r="372" spans="1:7" x14ac:dyDescent="0.3">
      <c r="A372" s="1">
        <v>42528</v>
      </c>
      <c r="B372" t="str">
        <f>VLOOKUP(A372,Datos!$A$2:$H$1084,3,FALSE)</f>
        <v>25.13</v>
      </c>
      <c r="C372" t="str">
        <f>VLOOKUP(A372,Datos!$A$2:$H$1084,4,FALSE)</f>
        <v>0.00</v>
      </c>
      <c r="D372" t="str">
        <f>VLOOKUP(A372,Datos!$A$2:$H$1084,5,FALSE)</f>
        <v>0.10</v>
      </c>
      <c r="E372" t="str">
        <f>VLOOKUP(A372,Datos!$A$2:$H$1084,6,FALSE)</f>
        <v>7.14</v>
      </c>
      <c r="F372" t="str">
        <f>VLOOKUP(A372,Datos!$A$2:$H$1084,7,FALSE)</f>
        <v>0.00</v>
      </c>
      <c r="G372" t="str">
        <f>VLOOKUP(A372,Datos!$A$2:$H$1084,8,FALSE)</f>
        <v>0.02</v>
      </c>
    </row>
    <row r="373" spans="1:7" x14ac:dyDescent="0.3">
      <c r="A373" s="1">
        <v>161984</v>
      </c>
      <c r="B373" t="str">
        <f>VLOOKUP(A373,Datos!$A$2:$H$1084,3,FALSE)</f>
        <v>69.19</v>
      </c>
      <c r="C373" t="str">
        <f>VLOOKUP(A373,Datos!$A$2:$H$1084,4,FALSE)</f>
        <v>0.00</v>
      </c>
      <c r="D373" t="str">
        <f>VLOOKUP(A373,Datos!$A$2:$H$1084,5,FALSE)</f>
        <v>0.57</v>
      </c>
      <c r="E373" t="str">
        <f>VLOOKUP(A373,Datos!$A$2:$H$1084,6,FALSE)</f>
        <v>5.62</v>
      </c>
      <c r="F373" t="str">
        <f>VLOOKUP(A373,Datos!$A$2:$H$1084,7,FALSE)</f>
        <v>0.00</v>
      </c>
      <c r="G373" t="str">
        <f>VLOOKUP(A373,Datos!$A$2:$H$1084,8,FALSE)</f>
        <v>0.08</v>
      </c>
    </row>
    <row r="374" spans="1:7" x14ac:dyDescent="0.3">
      <c r="A374" s="1">
        <v>164713</v>
      </c>
      <c r="B374" t="str">
        <f>VLOOKUP(A374,Datos!$A$2:$H$1084,3,FALSE)</f>
        <v>0</v>
      </c>
      <c r="C374" t="str">
        <f>VLOOKUP(A374,Datos!$A$2:$H$1084,4,FALSE)</f>
        <v>0</v>
      </c>
      <c r="D374" t="str">
        <f>VLOOKUP(A374,Datos!$A$2:$H$1084,5,FALSE)</f>
        <v>0</v>
      </c>
      <c r="E374" t="str">
        <f>VLOOKUP(A374,Datos!$A$2:$H$1084,6,FALSE)</f>
        <v>0</v>
      </c>
      <c r="F374" t="str">
        <f>VLOOKUP(A374,Datos!$A$2:$H$1084,7,FALSE)</f>
        <v>0</v>
      </c>
      <c r="G374" t="str">
        <f>VLOOKUP(A374,Datos!$A$2:$H$1084,8,FALSE)</f>
        <v>0</v>
      </c>
    </row>
    <row r="375" spans="1:7" x14ac:dyDescent="0.3">
      <c r="A375" s="1">
        <v>441334</v>
      </c>
      <c r="B375" t="str">
        <f>VLOOKUP(A375,Datos!$A$2:$H$1084,3,FALSE)</f>
        <v>32.31</v>
      </c>
      <c r="C375" t="str">
        <f>VLOOKUP(A375,Datos!$A$2:$H$1084,4,FALSE)</f>
        <v>0.00</v>
      </c>
      <c r="D375" t="str">
        <f>VLOOKUP(A375,Datos!$A$2:$H$1084,5,FALSE)</f>
        <v>0.08</v>
      </c>
      <c r="E375" t="str">
        <f>VLOOKUP(A375,Datos!$A$2:$H$1084,6,FALSE)</f>
        <v>3.10</v>
      </c>
      <c r="F375" t="str">
        <f>VLOOKUP(A375,Datos!$A$2:$H$1084,7,FALSE)</f>
        <v>0.00</v>
      </c>
      <c r="G375" t="str">
        <f>VLOOKUP(A375,Datos!$A$2:$H$1084,8,FALSE)</f>
        <v>0.01</v>
      </c>
    </row>
    <row r="376" spans="1:7" x14ac:dyDescent="0.3">
      <c r="A376" s="1">
        <v>152102</v>
      </c>
      <c r="B376" t="str">
        <f>VLOOKUP(A376,Datos!$A$2:$H$1084,3,FALSE)</f>
        <v>91.23</v>
      </c>
      <c r="C376" t="str">
        <f>VLOOKUP(A376,Datos!$A$2:$H$1084,4,FALSE)</f>
        <v>0.00</v>
      </c>
      <c r="D376" t="str">
        <f>VLOOKUP(A376,Datos!$A$2:$H$1084,5,FALSE)</f>
        <v>2.12</v>
      </c>
      <c r="E376" t="str">
        <f>VLOOKUP(A376,Datos!$A$2:$H$1084,6,FALSE)</f>
        <v>12.96</v>
      </c>
      <c r="F376" t="str">
        <f>VLOOKUP(A376,Datos!$A$2:$H$1084,7,FALSE)</f>
        <v>0.00</v>
      </c>
      <c r="G376" t="str">
        <f>VLOOKUP(A376,Datos!$A$2:$H$1084,8,FALSE)</f>
        <v>0.02</v>
      </c>
    </row>
    <row r="377" spans="1:7" x14ac:dyDescent="0.3">
      <c r="A377" s="1">
        <v>61866</v>
      </c>
      <c r="B377" t="str">
        <f>VLOOKUP(A377,Datos!$A$2:$H$1084,3,FALSE)</f>
        <v>59.46</v>
      </c>
      <c r="C377" t="str">
        <f>VLOOKUP(A377,Datos!$A$2:$H$1084,4,FALSE)</f>
        <v>0.00</v>
      </c>
      <c r="D377" t="str">
        <f>VLOOKUP(A377,Datos!$A$2:$H$1084,5,FALSE)</f>
        <v>0.16</v>
      </c>
      <c r="E377" t="str">
        <f>VLOOKUP(A377,Datos!$A$2:$H$1084,6,FALSE)</f>
        <v>4.44</v>
      </c>
      <c r="F377" t="str">
        <f>VLOOKUP(A377,Datos!$A$2:$H$1084,7,FALSE)</f>
        <v>0.00</v>
      </c>
      <c r="G377" t="str">
        <f>VLOOKUP(A377,Datos!$A$2:$H$1084,8,FALSE)</f>
        <v>0.02</v>
      </c>
    </row>
    <row r="378" spans="1:7" x14ac:dyDescent="0.3">
      <c r="A378" s="1">
        <v>459296</v>
      </c>
      <c r="B378" t="str">
        <f>VLOOKUP(A378,Datos!$A$2:$H$1084,3,FALSE)</f>
        <v>91.64</v>
      </c>
      <c r="C378" t="str">
        <f>VLOOKUP(A378,Datos!$A$2:$H$1084,4,FALSE)</f>
        <v>0.00</v>
      </c>
      <c r="D378" t="str">
        <f>VLOOKUP(A378,Datos!$A$2:$H$1084,5,FALSE)</f>
        <v>0.67</v>
      </c>
      <c r="E378" t="str">
        <f>VLOOKUP(A378,Datos!$A$2:$H$1084,6,FALSE)</f>
        <v>56.66</v>
      </c>
      <c r="F378" t="str">
        <f>VLOOKUP(A378,Datos!$A$2:$H$1084,7,FALSE)</f>
        <v>0.00</v>
      </c>
      <c r="G378" t="str">
        <f>VLOOKUP(A378,Datos!$A$2:$H$1084,8,FALSE)</f>
        <v>0.10</v>
      </c>
    </row>
    <row r="379" spans="1:7" x14ac:dyDescent="0.3">
      <c r="A379" s="1">
        <v>571250</v>
      </c>
      <c r="B379" t="str">
        <f>VLOOKUP(A379,Datos!$A$2:$H$1084,3,FALSE)</f>
        <v>33.64</v>
      </c>
      <c r="C379" t="str">
        <f>VLOOKUP(A379,Datos!$A$2:$H$1084,4,FALSE)</f>
        <v>0.00</v>
      </c>
      <c r="D379" t="str">
        <f>VLOOKUP(A379,Datos!$A$2:$H$1084,5,FALSE)</f>
        <v>0.19</v>
      </c>
      <c r="E379" t="str">
        <f>VLOOKUP(A379,Datos!$A$2:$H$1084,6,FALSE)</f>
        <v>24.81</v>
      </c>
      <c r="F379" t="str">
        <f>VLOOKUP(A379,Datos!$A$2:$H$1084,7,FALSE)</f>
        <v>0.00</v>
      </c>
      <c r="G379" t="str">
        <f>VLOOKUP(A379,Datos!$A$2:$H$1084,8,FALSE)</f>
        <v>0.03</v>
      </c>
    </row>
    <row r="380" spans="1:7" x14ac:dyDescent="0.3">
      <c r="A380" s="1">
        <v>149973</v>
      </c>
      <c r="B380" t="str">
        <f>VLOOKUP(A380,Datos!$A$2:$H$1084,3,FALSE)</f>
        <v>52.69</v>
      </c>
      <c r="C380" t="str">
        <f>VLOOKUP(A380,Datos!$A$2:$H$1084,4,FALSE)</f>
        <v>0.00</v>
      </c>
      <c r="D380" t="str">
        <f>VLOOKUP(A380,Datos!$A$2:$H$1084,5,FALSE)</f>
        <v>0.55</v>
      </c>
      <c r="E380" t="str">
        <f>VLOOKUP(A380,Datos!$A$2:$H$1084,6,FALSE)</f>
        <v>69.13</v>
      </c>
      <c r="F380" t="str">
        <f>VLOOKUP(A380,Datos!$A$2:$H$1084,7,FALSE)</f>
        <v>0.00</v>
      </c>
      <c r="G380" t="str">
        <f>VLOOKUP(A380,Datos!$A$2:$H$1084,8,FALSE)</f>
        <v>0.06</v>
      </c>
    </row>
    <row r="381" spans="1:7" x14ac:dyDescent="0.3">
      <c r="A381" s="1">
        <v>458616</v>
      </c>
      <c r="B381" t="str">
        <f>VLOOKUP(A381,Datos!$A$2:$H$1084,3,FALSE)</f>
        <v>50.31</v>
      </c>
      <c r="C381" t="str">
        <f>VLOOKUP(A381,Datos!$A$2:$H$1084,4,FALSE)</f>
        <v>0.00</v>
      </c>
      <c r="D381" t="str">
        <f>VLOOKUP(A381,Datos!$A$2:$H$1084,5,FALSE)</f>
        <v>0.45</v>
      </c>
      <c r="E381" t="str">
        <f>VLOOKUP(A381,Datos!$A$2:$H$1084,6,FALSE)</f>
        <v>15.86</v>
      </c>
      <c r="F381" t="str">
        <f>VLOOKUP(A381,Datos!$A$2:$H$1084,7,FALSE)</f>
        <v>0.00</v>
      </c>
      <c r="G381" t="str">
        <f>VLOOKUP(A381,Datos!$A$2:$H$1084,8,FALSE)</f>
        <v>0.04</v>
      </c>
    </row>
    <row r="382" spans="1:7" x14ac:dyDescent="0.3">
      <c r="A382" s="1">
        <v>441715</v>
      </c>
      <c r="B382" t="str">
        <f>VLOOKUP(A382,Datos!$A$2:$H$1084,3,FALSE)</f>
        <v>27.06</v>
      </c>
      <c r="C382" t="str">
        <f>VLOOKUP(A382,Datos!$A$2:$H$1084,4,FALSE)</f>
        <v>0.00</v>
      </c>
      <c r="D382" t="str">
        <f>VLOOKUP(A382,Datos!$A$2:$H$1084,5,FALSE)</f>
        <v>0.28</v>
      </c>
      <c r="E382" t="str">
        <f>VLOOKUP(A382,Datos!$A$2:$H$1084,6,FALSE)</f>
        <v>7.90</v>
      </c>
      <c r="F382" t="str">
        <f>VLOOKUP(A382,Datos!$A$2:$H$1084,7,FALSE)</f>
        <v>0.00</v>
      </c>
      <c r="G382" t="str">
        <f>VLOOKUP(A382,Datos!$A$2:$H$1084,8,FALSE)</f>
        <v>0.03</v>
      </c>
    </row>
    <row r="383" spans="1:7" x14ac:dyDescent="0.3">
      <c r="A383" s="1">
        <v>61197</v>
      </c>
      <c r="B383" t="str">
        <f>VLOOKUP(A383,Datos!$A$2:$H$1084,3,FALSE)</f>
        <v>1.40</v>
      </c>
      <c r="C383" t="str">
        <f>VLOOKUP(A383,Datos!$A$2:$H$1084,4,FALSE)</f>
        <v>0.00</v>
      </c>
      <c r="D383" t="str">
        <f>VLOOKUP(A383,Datos!$A$2:$H$1084,5,FALSE)</f>
        <v>0.00</v>
      </c>
      <c r="E383" t="str">
        <f>VLOOKUP(A383,Datos!$A$2:$H$1084,6,FALSE)</f>
        <v>0.13</v>
      </c>
      <c r="F383" t="str">
        <f>VLOOKUP(A383,Datos!$A$2:$H$1084,7,FALSE)</f>
        <v>0.00</v>
      </c>
      <c r="G383" t="str">
        <f>VLOOKUP(A383,Datos!$A$2:$H$1084,8,FALSE)</f>
        <v>0.00</v>
      </c>
    </row>
    <row r="384" spans="1:7" x14ac:dyDescent="0.3">
      <c r="A384" s="1">
        <v>45918</v>
      </c>
      <c r="B384" t="str">
        <f>VLOOKUP(A384,Datos!$A$2:$H$1084,3,FALSE)</f>
        <v>38.08</v>
      </c>
      <c r="C384" t="str">
        <f>VLOOKUP(A384,Datos!$A$2:$H$1084,4,FALSE)</f>
        <v>0.00</v>
      </c>
      <c r="D384" t="str">
        <f>VLOOKUP(A384,Datos!$A$2:$H$1084,5,FALSE)</f>
        <v>0.27</v>
      </c>
      <c r="E384" t="str">
        <f>VLOOKUP(A384,Datos!$A$2:$H$1084,6,FALSE)</f>
        <v>5.90</v>
      </c>
      <c r="F384" t="str">
        <f>VLOOKUP(A384,Datos!$A$2:$H$1084,7,FALSE)</f>
        <v>0.00</v>
      </c>
      <c r="G384" t="str">
        <f>VLOOKUP(A384,Datos!$A$2:$H$1084,8,FALSE)</f>
        <v>0.02</v>
      </c>
    </row>
    <row r="385" spans="1:7" x14ac:dyDescent="0.3">
      <c r="A385" s="1">
        <v>66802</v>
      </c>
      <c r="B385" t="str">
        <f>VLOOKUP(A385,Datos!$A$2:$H$1084,3,FALSE)</f>
        <v>28.72</v>
      </c>
      <c r="C385" t="str">
        <f>VLOOKUP(A385,Datos!$A$2:$H$1084,4,FALSE)</f>
        <v>0.00</v>
      </c>
      <c r="D385" t="str">
        <f>VLOOKUP(A385,Datos!$A$2:$H$1084,5,FALSE)</f>
        <v>0.03</v>
      </c>
      <c r="E385" t="str">
        <f>VLOOKUP(A385,Datos!$A$2:$H$1084,6,FALSE)</f>
        <v>7.24</v>
      </c>
      <c r="F385" t="str">
        <f>VLOOKUP(A385,Datos!$A$2:$H$1084,7,FALSE)</f>
        <v>0.00</v>
      </c>
      <c r="G385" t="str">
        <f>VLOOKUP(A385,Datos!$A$2:$H$1084,8,FALSE)</f>
        <v>0.01</v>
      </c>
    </row>
    <row r="386" spans="1:7" x14ac:dyDescent="0.3">
      <c r="A386" s="1">
        <v>544600</v>
      </c>
      <c r="B386" t="str">
        <f>VLOOKUP(A386,Datos!$A$2:$H$1084,3,FALSE)</f>
        <v>48.17</v>
      </c>
      <c r="C386" t="str">
        <f>VLOOKUP(A386,Datos!$A$2:$H$1084,4,FALSE)</f>
        <v>0.00</v>
      </c>
      <c r="D386" t="str">
        <f>VLOOKUP(A386,Datos!$A$2:$H$1084,5,FALSE)</f>
        <v>0.41</v>
      </c>
      <c r="E386" t="str">
        <f>VLOOKUP(A386,Datos!$A$2:$H$1084,6,FALSE)</f>
        <v>10.62</v>
      </c>
      <c r="F386" t="str">
        <f>VLOOKUP(A386,Datos!$A$2:$H$1084,7,FALSE)</f>
        <v>0.00</v>
      </c>
      <c r="G386" t="str">
        <f>VLOOKUP(A386,Datos!$A$2:$H$1084,8,FALSE)</f>
        <v>0.05</v>
      </c>
    </row>
    <row r="387" spans="1:7" x14ac:dyDescent="0.3">
      <c r="A387" s="1">
        <v>441616</v>
      </c>
      <c r="B387" t="str">
        <f>VLOOKUP(A387,Datos!$A$2:$H$1084,3,FALSE)</f>
        <v>79.06</v>
      </c>
      <c r="C387" t="str">
        <f>VLOOKUP(A387,Datos!$A$2:$H$1084,4,FALSE)</f>
        <v>0.00</v>
      </c>
      <c r="D387" t="str">
        <f>VLOOKUP(A387,Datos!$A$2:$H$1084,5,FALSE)</f>
        <v>0.78</v>
      </c>
      <c r="E387" t="str">
        <f>VLOOKUP(A387,Datos!$A$2:$H$1084,6,FALSE)</f>
        <v>10.37</v>
      </c>
      <c r="F387" t="str">
        <f>VLOOKUP(A387,Datos!$A$2:$H$1084,7,FALSE)</f>
        <v>0.00</v>
      </c>
      <c r="G387" t="str">
        <f>VLOOKUP(A387,Datos!$A$2:$H$1084,8,FALSE)</f>
        <v>0.05</v>
      </c>
    </row>
    <row r="388" spans="1:7" x14ac:dyDescent="0.3">
      <c r="A388" s="1">
        <v>147672</v>
      </c>
      <c r="B388" t="str">
        <f>VLOOKUP(A388,Datos!$A$2:$H$1084,3,FALSE)</f>
        <v>53.84</v>
      </c>
      <c r="C388" t="str">
        <f>VLOOKUP(A388,Datos!$A$2:$H$1084,4,FALSE)</f>
        <v>0.00</v>
      </c>
      <c r="D388" t="str">
        <f>VLOOKUP(A388,Datos!$A$2:$H$1084,5,FALSE)</f>
        <v>0.08</v>
      </c>
      <c r="E388" t="str">
        <f>VLOOKUP(A388,Datos!$A$2:$H$1084,6,FALSE)</f>
        <v>47.02</v>
      </c>
      <c r="F388" t="str">
        <f>VLOOKUP(A388,Datos!$A$2:$H$1084,7,FALSE)</f>
        <v>0.00</v>
      </c>
      <c r="G388" t="str">
        <f>VLOOKUP(A388,Datos!$A$2:$H$1084,8,FALSE)</f>
        <v>0.02</v>
      </c>
    </row>
    <row r="389" spans="1:7" x14ac:dyDescent="0.3">
      <c r="A389" s="1">
        <v>712617</v>
      </c>
      <c r="B389" t="str">
        <f>VLOOKUP(A389,Datos!$A$2:$H$1084,3,FALSE)</f>
        <v>55.82</v>
      </c>
      <c r="C389" t="str">
        <f>VLOOKUP(A389,Datos!$A$2:$H$1084,4,FALSE)</f>
        <v>0.00</v>
      </c>
      <c r="D389" t="str">
        <f>VLOOKUP(A389,Datos!$A$2:$H$1084,5,FALSE)</f>
        <v>0.09</v>
      </c>
      <c r="E389" t="str">
        <f>VLOOKUP(A389,Datos!$A$2:$H$1084,6,FALSE)</f>
        <v>5.13</v>
      </c>
      <c r="F389" t="str">
        <f>VLOOKUP(A389,Datos!$A$2:$H$1084,7,FALSE)</f>
        <v>0.00</v>
      </c>
      <c r="G389" t="str">
        <f>VLOOKUP(A389,Datos!$A$2:$H$1084,8,FALSE)</f>
        <v>0.01</v>
      </c>
    </row>
    <row r="390" spans="1:7" x14ac:dyDescent="0.3">
      <c r="A390" s="1">
        <v>67321</v>
      </c>
      <c r="B390" t="str">
        <f>VLOOKUP(A390,Datos!$A$2:$H$1084,3,FALSE)</f>
        <v>87.21</v>
      </c>
      <c r="C390" t="str">
        <f>VLOOKUP(A390,Datos!$A$2:$H$1084,4,FALSE)</f>
        <v>0.00</v>
      </c>
      <c r="D390" t="str">
        <f>VLOOKUP(A390,Datos!$A$2:$H$1084,5,FALSE)</f>
        <v>0.30</v>
      </c>
      <c r="E390" t="str">
        <f>VLOOKUP(A390,Datos!$A$2:$H$1084,6,FALSE)</f>
        <v>10.11</v>
      </c>
      <c r="F390" t="str">
        <f>VLOOKUP(A390,Datos!$A$2:$H$1084,7,FALSE)</f>
        <v>0.00</v>
      </c>
      <c r="G390" t="str">
        <f>VLOOKUP(A390,Datos!$A$2:$H$1084,8,FALSE)</f>
        <v>0.02</v>
      </c>
    </row>
    <row r="391" spans="1:7" x14ac:dyDescent="0.3">
      <c r="A391" s="1">
        <v>399759</v>
      </c>
      <c r="B391" t="str">
        <f>VLOOKUP(A391,Datos!$A$2:$H$1084,3,FALSE)</f>
        <v>63.74</v>
      </c>
      <c r="C391" t="str">
        <f>VLOOKUP(A391,Datos!$A$2:$H$1084,4,FALSE)</f>
        <v>0.00</v>
      </c>
      <c r="D391" t="str">
        <f>VLOOKUP(A391,Datos!$A$2:$H$1084,5,FALSE)</f>
        <v>0.21</v>
      </c>
      <c r="E391" t="str">
        <f>VLOOKUP(A391,Datos!$A$2:$H$1084,6,FALSE)</f>
        <v>3.63</v>
      </c>
      <c r="F391" t="str">
        <f>VLOOKUP(A391,Datos!$A$2:$H$1084,7,FALSE)</f>
        <v>0.00</v>
      </c>
      <c r="G391" t="str">
        <f>VLOOKUP(A391,Datos!$A$2:$H$1084,8,FALSE)</f>
        <v>0.02</v>
      </c>
    </row>
    <row r="392" spans="1:7" x14ac:dyDescent="0.3">
      <c r="A392" s="1">
        <v>72959</v>
      </c>
      <c r="B392" t="str">
        <f>VLOOKUP(A392,Datos!$A$2:$H$1084,3,FALSE)</f>
        <v>24.96</v>
      </c>
      <c r="C392" t="str">
        <f>VLOOKUP(A392,Datos!$A$2:$H$1084,4,FALSE)</f>
        <v>0.00</v>
      </c>
      <c r="D392" t="str">
        <f>VLOOKUP(A392,Datos!$A$2:$H$1084,5,FALSE)</f>
        <v>0.01</v>
      </c>
      <c r="E392" t="str">
        <f>VLOOKUP(A392,Datos!$A$2:$H$1084,6,FALSE)</f>
        <v>7.37</v>
      </c>
      <c r="F392" t="str">
        <f>VLOOKUP(A392,Datos!$A$2:$H$1084,7,FALSE)</f>
        <v>0.01</v>
      </c>
      <c r="G392" t="str">
        <f>VLOOKUP(A392,Datos!$A$2:$H$1084,8,FALSE)</f>
        <v>0.01</v>
      </c>
    </row>
    <row r="393" spans="1:7" x14ac:dyDescent="0.3">
      <c r="A393" s="1">
        <v>748409</v>
      </c>
      <c r="B393" t="str">
        <f>VLOOKUP(A393,Datos!$A$2:$H$1084,3,FALSE)</f>
        <v>39.94</v>
      </c>
      <c r="C393" t="str">
        <f>VLOOKUP(A393,Datos!$A$2:$H$1084,4,FALSE)</f>
        <v>0.00</v>
      </c>
      <c r="D393" t="str">
        <f>VLOOKUP(A393,Datos!$A$2:$H$1084,5,FALSE)</f>
        <v>0.03</v>
      </c>
      <c r="E393" t="str">
        <f>VLOOKUP(A393,Datos!$A$2:$H$1084,6,FALSE)</f>
        <v>1.42</v>
      </c>
      <c r="F393" t="str">
        <f>VLOOKUP(A393,Datos!$A$2:$H$1084,7,FALSE)</f>
        <v>0.00</v>
      </c>
      <c r="G393" t="str">
        <f>VLOOKUP(A393,Datos!$A$2:$H$1084,8,FALSE)</f>
        <v>0.01</v>
      </c>
    </row>
    <row r="394" spans="1:7" x14ac:dyDescent="0.3">
      <c r="A394" s="1">
        <v>90393</v>
      </c>
      <c r="B394" t="str">
        <f>VLOOKUP(A394,Datos!$A$2:$H$1084,3,FALSE)</f>
        <v>91.48</v>
      </c>
      <c r="C394" t="str">
        <f>VLOOKUP(A394,Datos!$A$2:$H$1084,4,FALSE)</f>
        <v>0.00</v>
      </c>
      <c r="D394" t="str">
        <f>VLOOKUP(A394,Datos!$A$2:$H$1084,5,FALSE)</f>
        <v>0.39</v>
      </c>
      <c r="E394" t="str">
        <f>VLOOKUP(A394,Datos!$A$2:$H$1084,6,FALSE)</f>
        <v>27.55</v>
      </c>
      <c r="F394" t="str">
        <f>VLOOKUP(A394,Datos!$A$2:$H$1084,7,FALSE)</f>
        <v>0.00</v>
      </c>
      <c r="G394" t="str">
        <f>VLOOKUP(A394,Datos!$A$2:$H$1084,8,FALSE)</f>
        <v>0.06</v>
      </c>
    </row>
    <row r="395" spans="1:7" x14ac:dyDescent="0.3">
      <c r="A395" s="1">
        <v>810335</v>
      </c>
      <c r="B395" t="str">
        <f>VLOOKUP(A395,Datos!$A$2:$H$1084,3,FALSE)</f>
        <v>78.43</v>
      </c>
      <c r="C395" t="str">
        <f>VLOOKUP(A395,Datos!$A$2:$H$1084,4,FALSE)</f>
        <v>0.00</v>
      </c>
      <c r="D395" t="str">
        <f>VLOOKUP(A395,Datos!$A$2:$H$1084,5,FALSE)</f>
        <v>0.11</v>
      </c>
      <c r="E395" t="str">
        <f>VLOOKUP(A395,Datos!$A$2:$H$1084,6,FALSE)</f>
        <v>7.61</v>
      </c>
      <c r="F395" t="str">
        <f>VLOOKUP(A395,Datos!$A$2:$H$1084,7,FALSE)</f>
        <v>0.00</v>
      </c>
      <c r="G395" t="str">
        <f>VLOOKUP(A395,Datos!$A$2:$H$1084,8,FALSE)</f>
        <v>0.01</v>
      </c>
    </row>
    <row r="396" spans="1:7" x14ac:dyDescent="0.3">
      <c r="A396" s="1">
        <v>441555</v>
      </c>
      <c r="B396" t="str">
        <f>VLOOKUP(A396,Datos!$A$2:$H$1084,3,FALSE)</f>
        <v>30.13</v>
      </c>
      <c r="C396" t="str">
        <f>VLOOKUP(A396,Datos!$A$2:$H$1084,4,FALSE)</f>
        <v>0.00</v>
      </c>
      <c r="D396" t="str">
        <f>VLOOKUP(A396,Datos!$A$2:$H$1084,5,FALSE)</f>
        <v>0.12</v>
      </c>
      <c r="E396" t="str">
        <f>VLOOKUP(A396,Datos!$A$2:$H$1084,6,FALSE)</f>
        <v>10.75</v>
      </c>
      <c r="F396" t="str">
        <f>VLOOKUP(A396,Datos!$A$2:$H$1084,7,FALSE)</f>
        <v>0.00</v>
      </c>
      <c r="G396" t="str">
        <f>VLOOKUP(A396,Datos!$A$2:$H$1084,8,FALSE)</f>
        <v>0.02</v>
      </c>
    </row>
    <row r="397" spans="1:7" x14ac:dyDescent="0.3">
      <c r="A397" s="1">
        <v>808686</v>
      </c>
      <c r="B397" t="str">
        <f>VLOOKUP(A397,Datos!$A$2:$H$1084,3,FALSE)</f>
        <v>31.29</v>
      </c>
      <c r="C397" t="str">
        <f>VLOOKUP(A397,Datos!$A$2:$H$1084,4,FALSE)</f>
        <v>0.00</v>
      </c>
      <c r="D397" t="str">
        <f>VLOOKUP(A397,Datos!$A$2:$H$1084,5,FALSE)</f>
        <v>0.06</v>
      </c>
      <c r="E397" t="str">
        <f>VLOOKUP(A397,Datos!$A$2:$H$1084,6,FALSE)</f>
        <v>5.97</v>
      </c>
      <c r="F397" t="str">
        <f>VLOOKUP(A397,Datos!$A$2:$H$1084,7,FALSE)</f>
        <v>0.00</v>
      </c>
      <c r="G397" t="str">
        <f>VLOOKUP(A397,Datos!$A$2:$H$1084,8,FALSE)</f>
        <v>0.01</v>
      </c>
    </row>
    <row r="398" spans="1:7" x14ac:dyDescent="0.3">
      <c r="A398" s="1">
        <v>443253</v>
      </c>
      <c r="B398" t="str">
        <f>VLOOKUP(A398,Datos!$A$2:$H$1084,3,FALSE)</f>
        <v>47.30</v>
      </c>
      <c r="C398" t="str">
        <f>VLOOKUP(A398,Datos!$A$2:$H$1084,4,FALSE)</f>
        <v>0.00</v>
      </c>
      <c r="D398" t="str">
        <f>VLOOKUP(A398,Datos!$A$2:$H$1084,5,FALSE)</f>
        <v>0.17</v>
      </c>
      <c r="E398" t="str">
        <f>VLOOKUP(A398,Datos!$A$2:$H$1084,6,FALSE)</f>
        <v>10.23</v>
      </c>
      <c r="F398" t="str">
        <f>VLOOKUP(A398,Datos!$A$2:$H$1084,7,FALSE)</f>
        <v>0.00</v>
      </c>
      <c r="G398" t="str">
        <f>VLOOKUP(A398,Datos!$A$2:$H$1084,8,FALSE)</f>
        <v>0.03</v>
      </c>
    </row>
    <row r="399" spans="1:7" x14ac:dyDescent="0.3">
      <c r="A399" s="1">
        <v>162752</v>
      </c>
      <c r="B399" t="str">
        <f>VLOOKUP(A399,Datos!$A$2:$H$1084,3,FALSE)</f>
        <v>50.90</v>
      </c>
      <c r="C399" t="str">
        <f>VLOOKUP(A399,Datos!$A$2:$H$1084,4,FALSE)</f>
        <v>0.00</v>
      </c>
      <c r="D399" t="str">
        <f>VLOOKUP(A399,Datos!$A$2:$H$1084,5,FALSE)</f>
        <v>0.20</v>
      </c>
      <c r="E399" t="str">
        <f>VLOOKUP(A399,Datos!$A$2:$H$1084,6,FALSE)</f>
        <v>6.49</v>
      </c>
      <c r="F399" t="str">
        <f>VLOOKUP(A399,Datos!$A$2:$H$1084,7,FALSE)</f>
        <v>0.00</v>
      </c>
      <c r="G399" t="str">
        <f>VLOOKUP(A399,Datos!$A$2:$H$1084,8,FALSE)</f>
        <v>0.02</v>
      </c>
    </row>
    <row r="400" spans="1:7" x14ac:dyDescent="0.3">
      <c r="A400" s="1">
        <v>58944</v>
      </c>
      <c r="B400" t="str">
        <f>VLOOKUP(A400,Datos!$A$2:$H$1084,3,FALSE)</f>
        <v>77.08</v>
      </c>
      <c r="C400" t="str">
        <f>VLOOKUP(A400,Datos!$A$2:$H$1084,4,FALSE)</f>
        <v>0.00</v>
      </c>
      <c r="D400" t="str">
        <f>VLOOKUP(A400,Datos!$A$2:$H$1084,5,FALSE)</f>
        <v>0.24</v>
      </c>
      <c r="E400" t="str">
        <f>VLOOKUP(A400,Datos!$A$2:$H$1084,6,FALSE)</f>
        <v>10.89</v>
      </c>
      <c r="F400" t="str">
        <f>VLOOKUP(A400,Datos!$A$2:$H$1084,7,FALSE)</f>
        <v>0.00</v>
      </c>
      <c r="G400" t="str">
        <f>VLOOKUP(A400,Datos!$A$2:$H$1084,8,FALSE)</f>
        <v>0.03</v>
      </c>
    </row>
    <row r="401" spans="1:7" x14ac:dyDescent="0.3">
      <c r="A401" s="1">
        <v>546048</v>
      </c>
      <c r="B401" t="str">
        <f>VLOOKUP(A401,Datos!$A$2:$H$1084,3,FALSE)</f>
        <v>94.74</v>
      </c>
      <c r="C401" t="str">
        <f>VLOOKUP(A401,Datos!$A$2:$H$1084,4,FALSE)</f>
        <v>0.01</v>
      </c>
      <c r="D401" t="str">
        <f>VLOOKUP(A401,Datos!$A$2:$H$1084,5,FALSE)</f>
        <v>0.50</v>
      </c>
      <c r="E401" t="str">
        <f>VLOOKUP(A401,Datos!$A$2:$H$1084,6,FALSE)</f>
        <v>6.01</v>
      </c>
      <c r="F401" t="str">
        <f>VLOOKUP(A401,Datos!$A$2:$H$1084,7,FALSE)</f>
        <v>0.01</v>
      </c>
      <c r="G401" t="str">
        <f>VLOOKUP(A401,Datos!$A$2:$H$1084,8,FALSE)</f>
        <v>0.04</v>
      </c>
    </row>
    <row r="402" spans="1:7" x14ac:dyDescent="0.3">
      <c r="A402" s="1">
        <v>76486</v>
      </c>
      <c r="B402" t="str">
        <f>VLOOKUP(A402,Datos!$A$2:$H$1084,3,FALSE)</f>
        <v>68.94</v>
      </c>
      <c r="C402" t="str">
        <f>VLOOKUP(A402,Datos!$A$2:$H$1084,4,FALSE)</f>
        <v>0.00</v>
      </c>
      <c r="D402" t="str">
        <f>VLOOKUP(A402,Datos!$A$2:$H$1084,5,FALSE)</f>
        <v>0.71</v>
      </c>
      <c r="E402" t="str">
        <f>VLOOKUP(A402,Datos!$A$2:$H$1084,6,FALSE)</f>
        <v>28.31</v>
      </c>
      <c r="F402" t="str">
        <f>VLOOKUP(A402,Datos!$A$2:$H$1084,7,FALSE)</f>
        <v>0.00</v>
      </c>
      <c r="G402" t="str">
        <f>VLOOKUP(A402,Datos!$A$2:$H$1084,8,FALSE)</f>
        <v>0.09</v>
      </c>
    </row>
    <row r="403" spans="1:7" x14ac:dyDescent="0.3">
      <c r="A403" s="1">
        <v>399801</v>
      </c>
      <c r="B403" t="str">
        <f>VLOOKUP(A403,Datos!$A$2:$H$1084,3,FALSE)</f>
        <v>20.60</v>
      </c>
      <c r="C403" t="str">
        <f>VLOOKUP(A403,Datos!$A$2:$H$1084,4,FALSE)</f>
        <v>0.00</v>
      </c>
      <c r="D403" t="str">
        <f>VLOOKUP(A403,Datos!$A$2:$H$1084,5,FALSE)</f>
        <v>0.03</v>
      </c>
      <c r="E403" t="str">
        <f>VLOOKUP(A403,Datos!$A$2:$H$1084,6,FALSE)</f>
        <v>0.86</v>
      </c>
      <c r="F403" t="str">
        <f>VLOOKUP(A403,Datos!$A$2:$H$1084,7,FALSE)</f>
        <v>0.00</v>
      </c>
      <c r="G403" t="str">
        <f>VLOOKUP(A403,Datos!$A$2:$H$1084,8,FALSE)</f>
        <v>0.01</v>
      </c>
    </row>
    <row r="404" spans="1:7" x14ac:dyDescent="0.3">
      <c r="A404" s="1">
        <v>539552</v>
      </c>
      <c r="B404" t="str">
        <f>VLOOKUP(A404,Datos!$A$2:$H$1084,3,FALSE)</f>
        <v>45.00</v>
      </c>
      <c r="C404" t="str">
        <f>VLOOKUP(A404,Datos!$A$2:$H$1084,4,FALSE)</f>
        <v>0.00</v>
      </c>
      <c r="D404" t="str">
        <f>VLOOKUP(A404,Datos!$A$2:$H$1084,5,FALSE)</f>
        <v>0.33</v>
      </c>
      <c r="E404" t="str">
        <f>VLOOKUP(A404,Datos!$A$2:$H$1084,6,FALSE)</f>
        <v>16.07</v>
      </c>
      <c r="F404" t="str">
        <f>VLOOKUP(A404,Datos!$A$2:$H$1084,7,FALSE)</f>
        <v>0.00</v>
      </c>
      <c r="G404" t="str">
        <f>VLOOKUP(A404,Datos!$A$2:$H$1084,8,FALSE)</f>
        <v>0.06</v>
      </c>
    </row>
    <row r="405" spans="1:7" x14ac:dyDescent="0.3">
      <c r="A405" s="1">
        <v>446510</v>
      </c>
      <c r="B405" t="str">
        <f>VLOOKUP(A405,Datos!$A$2:$H$1084,3,FALSE)</f>
        <v>51.11</v>
      </c>
      <c r="C405" t="str">
        <f>VLOOKUP(A405,Datos!$A$2:$H$1084,4,FALSE)</f>
        <v>0.01</v>
      </c>
      <c r="D405" t="str">
        <f>VLOOKUP(A405,Datos!$A$2:$H$1084,5,FALSE)</f>
        <v>0.20</v>
      </c>
      <c r="E405" t="str">
        <f>VLOOKUP(A405,Datos!$A$2:$H$1084,6,FALSE)</f>
        <v>10.38</v>
      </c>
      <c r="F405" t="str">
        <f>VLOOKUP(A405,Datos!$A$2:$H$1084,7,FALSE)</f>
        <v>0.01</v>
      </c>
      <c r="G405" t="str">
        <f>VLOOKUP(A405,Datos!$A$2:$H$1084,8,FALSE)</f>
        <v>0.02</v>
      </c>
    </row>
    <row r="406" spans="1:7" x14ac:dyDescent="0.3">
      <c r="A406" s="1">
        <v>463627</v>
      </c>
      <c r="B406" t="str">
        <f>VLOOKUP(A406,Datos!$A$2:$H$1084,3,FALSE)</f>
        <v>17.89</v>
      </c>
      <c r="C406" t="str">
        <f>VLOOKUP(A406,Datos!$A$2:$H$1084,4,FALSE)</f>
        <v>0.00</v>
      </c>
      <c r="D406" t="str">
        <f>VLOOKUP(A406,Datos!$A$2:$H$1084,5,FALSE)</f>
        <v>0.09</v>
      </c>
      <c r="E406" t="str">
        <f>VLOOKUP(A406,Datos!$A$2:$H$1084,6,FALSE)</f>
        <v>7.98</v>
      </c>
      <c r="F406" t="str">
        <f>VLOOKUP(A406,Datos!$A$2:$H$1084,7,FALSE)</f>
        <v>0.00</v>
      </c>
      <c r="G406" t="str">
        <f>VLOOKUP(A406,Datos!$A$2:$H$1084,8,FALSE)</f>
        <v>0.01</v>
      </c>
    </row>
    <row r="407" spans="1:7" x14ac:dyDescent="0.3">
      <c r="A407" s="1">
        <v>79833</v>
      </c>
      <c r="B407" t="str">
        <f>VLOOKUP(A407,Datos!$A$2:$H$1084,3,FALSE)</f>
        <v>40.01</v>
      </c>
      <c r="C407" t="str">
        <f>VLOOKUP(A407,Datos!$A$2:$H$1084,4,FALSE)</f>
        <v>0.01</v>
      </c>
      <c r="D407" t="str">
        <f>VLOOKUP(A407,Datos!$A$2:$H$1084,5,FALSE)</f>
        <v>0.26</v>
      </c>
      <c r="E407" t="str">
        <f>VLOOKUP(A407,Datos!$A$2:$H$1084,6,FALSE)</f>
        <v>7.84</v>
      </c>
      <c r="F407" t="str">
        <f>VLOOKUP(A407,Datos!$A$2:$H$1084,7,FALSE)</f>
        <v>0.01</v>
      </c>
      <c r="G407" t="str">
        <f>VLOOKUP(A407,Datos!$A$2:$H$1084,8,FALSE)</f>
        <v>0.03</v>
      </c>
    </row>
    <row r="408" spans="1:7" x14ac:dyDescent="0.3">
      <c r="A408" s="1">
        <v>452563</v>
      </c>
      <c r="B408" t="str">
        <f>VLOOKUP(A408,Datos!$A$2:$H$1084,3,FALSE)</f>
        <v>41.52</v>
      </c>
      <c r="C408" t="str">
        <f>VLOOKUP(A408,Datos!$A$2:$H$1084,4,FALSE)</f>
        <v>0.00</v>
      </c>
      <c r="D408" t="str">
        <f>VLOOKUP(A408,Datos!$A$2:$H$1084,5,FALSE)</f>
        <v>0.15</v>
      </c>
      <c r="E408" t="str">
        <f>VLOOKUP(A408,Datos!$A$2:$H$1084,6,FALSE)</f>
        <v>3.14</v>
      </c>
      <c r="F408" t="str">
        <f>VLOOKUP(A408,Datos!$A$2:$H$1084,7,FALSE)</f>
        <v>0.00</v>
      </c>
      <c r="G408" t="str">
        <f>VLOOKUP(A408,Datos!$A$2:$H$1084,8,FALSE)</f>
        <v>0.01</v>
      </c>
    </row>
    <row r="409" spans="1:7" x14ac:dyDescent="0.3">
      <c r="A409" s="1">
        <v>463321</v>
      </c>
      <c r="B409" t="str">
        <f>VLOOKUP(A409,Datos!$A$2:$H$1084,3,FALSE)</f>
        <v>54.29</v>
      </c>
      <c r="C409" t="str">
        <f>VLOOKUP(A409,Datos!$A$2:$H$1084,4,FALSE)</f>
        <v>0.00</v>
      </c>
      <c r="D409" t="str">
        <f>VLOOKUP(A409,Datos!$A$2:$H$1084,5,FALSE)</f>
        <v>0.02</v>
      </c>
      <c r="E409" t="str">
        <f>VLOOKUP(A409,Datos!$A$2:$H$1084,6,FALSE)</f>
        <v>4.66</v>
      </c>
      <c r="F409" t="str">
        <f>VLOOKUP(A409,Datos!$A$2:$H$1084,7,FALSE)</f>
        <v>0.00</v>
      </c>
      <c r="G409" t="str">
        <f>VLOOKUP(A409,Datos!$A$2:$H$1084,8,FALSE)</f>
        <v>0.01</v>
      </c>
    </row>
    <row r="410" spans="1:7" x14ac:dyDescent="0.3">
      <c r="A410" s="1">
        <v>487685</v>
      </c>
      <c r="B410" t="str">
        <f>VLOOKUP(A410,Datos!$A$2:$H$1084,3,FALSE)</f>
        <v>33.90</v>
      </c>
      <c r="C410" t="str">
        <f>VLOOKUP(A410,Datos!$A$2:$H$1084,4,FALSE)</f>
        <v>0.00</v>
      </c>
      <c r="D410" t="str">
        <f>VLOOKUP(A410,Datos!$A$2:$H$1084,5,FALSE)</f>
        <v>0.22</v>
      </c>
      <c r="E410" t="str">
        <f>VLOOKUP(A410,Datos!$A$2:$H$1084,6,FALSE)</f>
        <v>8.96</v>
      </c>
      <c r="F410" t="str">
        <f>VLOOKUP(A410,Datos!$A$2:$H$1084,7,FALSE)</f>
        <v>0.00</v>
      </c>
      <c r="G410" t="str">
        <f>VLOOKUP(A410,Datos!$A$2:$H$1084,8,FALSE)</f>
        <v>0.03</v>
      </c>
    </row>
    <row r="411" spans="1:7" x14ac:dyDescent="0.3">
      <c r="A411" s="1">
        <v>64073</v>
      </c>
      <c r="B411" t="str">
        <f>VLOOKUP(A411,Datos!$A$2:$H$1084,3,FALSE)</f>
        <v>91.51</v>
      </c>
      <c r="C411" t="str">
        <f>VLOOKUP(A411,Datos!$A$2:$H$1084,4,FALSE)</f>
        <v>0.01</v>
      </c>
      <c r="D411" t="str">
        <f>VLOOKUP(A411,Datos!$A$2:$H$1084,5,FALSE)</f>
        <v>1.09</v>
      </c>
      <c r="E411" t="str">
        <f>VLOOKUP(A411,Datos!$A$2:$H$1084,6,FALSE)</f>
        <v>8.79</v>
      </c>
      <c r="F411" t="str">
        <f>VLOOKUP(A411,Datos!$A$2:$H$1084,7,FALSE)</f>
        <v>0.01</v>
      </c>
      <c r="G411" t="str">
        <f>VLOOKUP(A411,Datos!$A$2:$H$1084,8,FALSE)</f>
        <v>0.07</v>
      </c>
    </row>
    <row r="412" spans="1:7" x14ac:dyDescent="0.3">
      <c r="A412" s="1">
        <v>472599</v>
      </c>
      <c r="B412" t="str">
        <f>VLOOKUP(A412,Datos!$A$2:$H$1084,3,FALSE)</f>
        <v>47.17</v>
      </c>
      <c r="C412" t="str">
        <f>VLOOKUP(A412,Datos!$A$2:$H$1084,4,FALSE)</f>
        <v>0.00</v>
      </c>
      <c r="D412" t="str">
        <f>VLOOKUP(A412,Datos!$A$2:$H$1084,5,FALSE)</f>
        <v>0.07</v>
      </c>
      <c r="E412" t="str">
        <f>VLOOKUP(A412,Datos!$A$2:$H$1084,6,FALSE)</f>
        <v>3.59</v>
      </c>
      <c r="F412" t="str">
        <f>VLOOKUP(A412,Datos!$A$2:$H$1084,7,FALSE)</f>
        <v>0.00</v>
      </c>
      <c r="G412" t="str">
        <f>VLOOKUP(A412,Datos!$A$2:$H$1084,8,FALSE)</f>
        <v>0.01</v>
      </c>
    </row>
    <row r="413" spans="1:7" x14ac:dyDescent="0.3">
      <c r="A413" s="1">
        <v>558423</v>
      </c>
      <c r="B413" t="str">
        <f>VLOOKUP(A413,Datos!$A$2:$H$1084,3,FALSE)</f>
        <v>39.01</v>
      </c>
      <c r="C413" t="str">
        <f>VLOOKUP(A413,Datos!$A$2:$H$1084,4,FALSE)</f>
        <v>0.00</v>
      </c>
      <c r="D413" t="str">
        <f>VLOOKUP(A413,Datos!$A$2:$H$1084,5,FALSE)</f>
        <v>0.42</v>
      </c>
      <c r="E413" t="str">
        <f>VLOOKUP(A413,Datos!$A$2:$H$1084,6,FALSE)</f>
        <v>10.42</v>
      </c>
      <c r="F413" t="str">
        <f>VLOOKUP(A413,Datos!$A$2:$H$1084,7,FALSE)</f>
        <v>0.00</v>
      </c>
      <c r="G413" t="str">
        <f>VLOOKUP(A413,Datos!$A$2:$H$1084,8,FALSE)</f>
        <v>0.04</v>
      </c>
    </row>
    <row r="414" spans="1:7" x14ac:dyDescent="0.3">
      <c r="A414" s="1">
        <v>526465</v>
      </c>
      <c r="B414" t="str">
        <f>VLOOKUP(A414,Datos!$A$2:$H$1084,3,FALSE)</f>
        <v>90.91</v>
      </c>
      <c r="C414" t="str">
        <f>VLOOKUP(A414,Datos!$A$2:$H$1084,4,FALSE)</f>
        <v>0.01</v>
      </c>
      <c r="D414" t="str">
        <f>VLOOKUP(A414,Datos!$A$2:$H$1084,5,FALSE)</f>
        <v>0.51</v>
      </c>
      <c r="E414" t="str">
        <f>VLOOKUP(A414,Datos!$A$2:$H$1084,6,FALSE)</f>
        <v>29.53</v>
      </c>
      <c r="F414" t="str">
        <f>VLOOKUP(A414,Datos!$A$2:$H$1084,7,FALSE)</f>
        <v>0.01</v>
      </c>
      <c r="G414" t="str">
        <f>VLOOKUP(A414,Datos!$A$2:$H$1084,8,FALSE)</f>
        <v>0.09</v>
      </c>
    </row>
    <row r="415" spans="1:7" x14ac:dyDescent="0.3">
      <c r="A415" s="1">
        <v>148596</v>
      </c>
      <c r="B415" t="str">
        <f>VLOOKUP(A415,Datos!$A$2:$H$1084,3,FALSE)</f>
        <v>185.66</v>
      </c>
      <c r="C415" t="str">
        <f>VLOOKUP(A415,Datos!$A$2:$H$1084,4,FALSE)</f>
        <v>0.00</v>
      </c>
      <c r="D415" t="str">
        <f>VLOOKUP(A415,Datos!$A$2:$H$1084,5,FALSE)</f>
        <v>0.64</v>
      </c>
      <c r="E415" t="str">
        <f>VLOOKUP(A415,Datos!$A$2:$H$1084,6,FALSE)</f>
        <v>41.94</v>
      </c>
      <c r="F415" t="str">
        <f>VLOOKUP(A415,Datos!$A$2:$H$1084,7,FALSE)</f>
        <v>0.00</v>
      </c>
      <c r="G415" t="str">
        <f>VLOOKUP(A415,Datos!$A$2:$H$1084,8,FALSE)</f>
        <v>0.09</v>
      </c>
    </row>
    <row r="416" spans="1:7" x14ac:dyDescent="0.3">
      <c r="A416" s="1">
        <v>91340</v>
      </c>
      <c r="B416" t="str">
        <f>VLOOKUP(A416,Datos!$A$2:$H$1084,3,FALSE)</f>
        <v>53.87</v>
      </c>
      <c r="C416" t="str">
        <f>VLOOKUP(A416,Datos!$A$2:$H$1084,4,FALSE)</f>
        <v>0.00</v>
      </c>
      <c r="D416" t="str">
        <f>VLOOKUP(A416,Datos!$A$2:$H$1084,5,FALSE)</f>
        <v>0.35</v>
      </c>
      <c r="E416" t="str">
        <f>VLOOKUP(A416,Datos!$A$2:$H$1084,6,FALSE)</f>
        <v>15.29</v>
      </c>
      <c r="F416" t="str">
        <f>VLOOKUP(A416,Datos!$A$2:$H$1084,7,FALSE)</f>
        <v>0.00</v>
      </c>
      <c r="G416" t="str">
        <f>VLOOKUP(A416,Datos!$A$2:$H$1084,8,FALSE)</f>
        <v>0.05</v>
      </c>
    </row>
    <row r="417" spans="1:7" x14ac:dyDescent="0.3">
      <c r="A417" s="1">
        <v>459183</v>
      </c>
      <c r="B417" t="str">
        <f>VLOOKUP(A417,Datos!$A$2:$H$1084,3,FALSE)</f>
        <v>50.33</v>
      </c>
      <c r="C417" t="str">
        <f>VLOOKUP(A417,Datos!$A$2:$H$1084,4,FALSE)</f>
        <v>0.00</v>
      </c>
      <c r="D417" t="str">
        <f>VLOOKUP(A417,Datos!$A$2:$H$1084,5,FALSE)</f>
        <v>0.19</v>
      </c>
      <c r="E417" t="str">
        <f>VLOOKUP(A417,Datos!$A$2:$H$1084,6,FALSE)</f>
        <v>2.62</v>
      </c>
      <c r="F417" t="str">
        <f>VLOOKUP(A417,Datos!$A$2:$H$1084,7,FALSE)</f>
        <v>0.00</v>
      </c>
      <c r="G417" t="str">
        <f>VLOOKUP(A417,Datos!$A$2:$H$1084,8,FALSE)</f>
        <v>0.02</v>
      </c>
    </row>
    <row r="418" spans="1:7" x14ac:dyDescent="0.3">
      <c r="A418" s="1">
        <v>58208</v>
      </c>
      <c r="B418" t="str">
        <f>VLOOKUP(A418,Datos!$A$2:$H$1084,3,FALSE)</f>
        <v>44.48</v>
      </c>
      <c r="C418" t="str">
        <f>VLOOKUP(A418,Datos!$A$2:$H$1084,4,FALSE)</f>
        <v>0.00</v>
      </c>
      <c r="D418" t="str">
        <f>VLOOKUP(A418,Datos!$A$2:$H$1084,5,FALSE)</f>
        <v>0.03</v>
      </c>
      <c r="E418" t="str">
        <f>VLOOKUP(A418,Datos!$A$2:$H$1084,6,FALSE)</f>
        <v>26.68</v>
      </c>
      <c r="F418" t="str">
        <f>VLOOKUP(A418,Datos!$A$2:$H$1084,7,FALSE)</f>
        <v>0.00</v>
      </c>
      <c r="G418" t="str">
        <f>VLOOKUP(A418,Datos!$A$2:$H$1084,8,FALSE)</f>
        <v>0.01</v>
      </c>
    </row>
    <row r="419" spans="1:7" x14ac:dyDescent="0.3">
      <c r="A419" s="1">
        <v>57987</v>
      </c>
      <c r="B419" t="str">
        <f>VLOOKUP(A419,Datos!$A$2:$H$1084,3,FALSE)</f>
        <v>26.34</v>
      </c>
      <c r="C419" t="str">
        <f>VLOOKUP(A419,Datos!$A$2:$H$1084,4,FALSE)</f>
        <v>0.00</v>
      </c>
      <c r="D419" t="str">
        <f>VLOOKUP(A419,Datos!$A$2:$H$1084,5,FALSE)</f>
        <v>0.03</v>
      </c>
      <c r="E419" t="str">
        <f>VLOOKUP(A419,Datos!$A$2:$H$1084,6,FALSE)</f>
        <v>1.28</v>
      </c>
      <c r="F419" t="str">
        <f>VLOOKUP(A419,Datos!$A$2:$H$1084,7,FALSE)</f>
        <v>0.00</v>
      </c>
      <c r="G419" t="str">
        <f>VLOOKUP(A419,Datos!$A$2:$H$1084,8,FALSE)</f>
        <v>0.01</v>
      </c>
    </row>
    <row r="420" spans="1:7" x14ac:dyDescent="0.3">
      <c r="A420" s="1">
        <v>396949</v>
      </c>
      <c r="B420" t="str">
        <f>VLOOKUP(A420,Datos!$A$2:$H$1084,3,FALSE)</f>
        <v>52.35</v>
      </c>
      <c r="C420" t="str">
        <f>VLOOKUP(A420,Datos!$A$2:$H$1084,4,FALSE)</f>
        <v>0.00</v>
      </c>
      <c r="D420" t="str">
        <f>VLOOKUP(A420,Datos!$A$2:$H$1084,5,FALSE)</f>
        <v>0.33</v>
      </c>
      <c r="E420" t="str">
        <f>VLOOKUP(A420,Datos!$A$2:$H$1084,6,FALSE)</f>
        <v>13.69</v>
      </c>
      <c r="F420" t="str">
        <f>VLOOKUP(A420,Datos!$A$2:$H$1084,7,FALSE)</f>
        <v>0.00</v>
      </c>
      <c r="G420" t="str">
        <f>VLOOKUP(A420,Datos!$A$2:$H$1084,8,FALSE)</f>
        <v>0.04</v>
      </c>
    </row>
    <row r="421" spans="1:7" x14ac:dyDescent="0.3">
      <c r="A421" s="1">
        <v>465495</v>
      </c>
      <c r="B421" t="str">
        <f>VLOOKUP(A421,Datos!$A$2:$H$1084,3,FALSE)</f>
        <v>51.68</v>
      </c>
      <c r="C421" t="str">
        <f>VLOOKUP(A421,Datos!$A$2:$H$1084,4,FALSE)</f>
        <v>0.00</v>
      </c>
      <c r="D421" t="str">
        <f>VLOOKUP(A421,Datos!$A$2:$H$1084,5,FALSE)</f>
        <v>0.11</v>
      </c>
      <c r="E421" t="str">
        <f>VLOOKUP(A421,Datos!$A$2:$H$1084,6,FALSE)</f>
        <v>42.28</v>
      </c>
      <c r="F421" t="str">
        <f>VLOOKUP(A421,Datos!$A$2:$H$1084,7,FALSE)</f>
        <v>0.00</v>
      </c>
      <c r="G421" t="str">
        <f>VLOOKUP(A421,Datos!$A$2:$H$1084,8,FALSE)</f>
        <v>0.06</v>
      </c>
    </row>
    <row r="422" spans="1:7" x14ac:dyDescent="0.3">
      <c r="A422" s="1">
        <v>441701</v>
      </c>
      <c r="B422" t="str">
        <f>VLOOKUP(A422,Datos!$A$2:$H$1084,3,FALSE)</f>
        <v>103.30</v>
      </c>
      <c r="C422" t="str">
        <f>VLOOKUP(A422,Datos!$A$2:$H$1084,4,FALSE)</f>
        <v>0.00</v>
      </c>
      <c r="D422" t="str">
        <f>VLOOKUP(A422,Datos!$A$2:$H$1084,5,FALSE)</f>
        <v>0.29</v>
      </c>
      <c r="E422" t="str">
        <f>VLOOKUP(A422,Datos!$A$2:$H$1084,6,FALSE)</f>
        <v>13.74</v>
      </c>
      <c r="F422" t="str">
        <f>VLOOKUP(A422,Datos!$A$2:$H$1084,7,FALSE)</f>
        <v>0.00</v>
      </c>
      <c r="G422" t="str">
        <f>VLOOKUP(A422,Datos!$A$2:$H$1084,8,FALSE)</f>
        <v>0.07</v>
      </c>
    </row>
    <row r="423" spans="1:7" x14ac:dyDescent="0.3">
      <c r="A423" s="1">
        <v>64940</v>
      </c>
      <c r="B423" t="str">
        <f>VLOOKUP(A423,Datos!$A$2:$H$1084,3,FALSE)</f>
        <v>100.54</v>
      </c>
      <c r="C423" t="str">
        <f>VLOOKUP(A423,Datos!$A$2:$H$1084,4,FALSE)</f>
        <v>0.00</v>
      </c>
      <c r="D423" t="str">
        <f>VLOOKUP(A423,Datos!$A$2:$H$1084,5,FALSE)</f>
        <v>0.94</v>
      </c>
      <c r="E423" t="str">
        <f>VLOOKUP(A423,Datos!$A$2:$H$1084,6,FALSE)</f>
        <v>31.07</v>
      </c>
      <c r="F423" t="str">
        <f>VLOOKUP(A423,Datos!$A$2:$H$1084,7,FALSE)</f>
        <v>0.00</v>
      </c>
      <c r="G423" t="str">
        <f>VLOOKUP(A423,Datos!$A$2:$H$1084,8,FALSE)</f>
        <v>0.09</v>
      </c>
    </row>
    <row r="424" spans="1:7" x14ac:dyDescent="0.3">
      <c r="A424" s="1">
        <v>441560</v>
      </c>
      <c r="B424" t="str">
        <f>VLOOKUP(A424,Datos!$A$2:$H$1084,3,FALSE)</f>
        <v>28.15</v>
      </c>
      <c r="C424" t="str">
        <f>VLOOKUP(A424,Datos!$A$2:$H$1084,4,FALSE)</f>
        <v>0.00</v>
      </c>
      <c r="D424" t="str">
        <f>VLOOKUP(A424,Datos!$A$2:$H$1084,5,FALSE)</f>
        <v>0.06</v>
      </c>
      <c r="E424" t="str">
        <f>VLOOKUP(A424,Datos!$A$2:$H$1084,6,FALSE)</f>
        <v>2.25</v>
      </c>
      <c r="F424" t="str">
        <f>VLOOKUP(A424,Datos!$A$2:$H$1084,7,FALSE)</f>
        <v>0.00</v>
      </c>
      <c r="G424" t="str">
        <f>VLOOKUP(A424,Datos!$A$2:$H$1084,8,FALSE)</f>
        <v>0.01</v>
      </c>
    </row>
    <row r="425" spans="1:7" x14ac:dyDescent="0.3">
      <c r="A425" s="1">
        <v>441490</v>
      </c>
      <c r="B425" t="str">
        <f>VLOOKUP(A425,Datos!$A$2:$H$1084,3,FALSE)</f>
        <v>48.49</v>
      </c>
      <c r="C425" t="str">
        <f>VLOOKUP(A425,Datos!$A$2:$H$1084,4,FALSE)</f>
        <v>0.00</v>
      </c>
      <c r="D425" t="str">
        <f>VLOOKUP(A425,Datos!$A$2:$H$1084,5,FALSE)</f>
        <v>0.14</v>
      </c>
      <c r="E425" t="str">
        <f>VLOOKUP(A425,Datos!$A$2:$H$1084,6,FALSE)</f>
        <v>8.13</v>
      </c>
      <c r="F425" t="str">
        <f>VLOOKUP(A425,Datos!$A$2:$H$1084,7,FALSE)</f>
        <v>0.00</v>
      </c>
      <c r="G425" t="str">
        <f>VLOOKUP(A425,Datos!$A$2:$H$1084,8,FALSE)</f>
        <v>0.03</v>
      </c>
    </row>
    <row r="426" spans="1:7" x14ac:dyDescent="0.3">
      <c r="A426" s="1">
        <v>463689</v>
      </c>
      <c r="B426" t="str">
        <f>VLOOKUP(A426,Datos!$A$2:$H$1084,3,FALSE)</f>
        <v>47.13</v>
      </c>
      <c r="C426" t="str">
        <f>VLOOKUP(A426,Datos!$A$2:$H$1084,4,FALSE)</f>
        <v>0.00</v>
      </c>
      <c r="D426" t="str">
        <f>VLOOKUP(A426,Datos!$A$2:$H$1084,5,FALSE)</f>
        <v>0.30</v>
      </c>
      <c r="E426" t="str">
        <f>VLOOKUP(A426,Datos!$A$2:$H$1084,6,FALSE)</f>
        <v>6.80</v>
      </c>
      <c r="F426" t="str">
        <f>VLOOKUP(A426,Datos!$A$2:$H$1084,7,FALSE)</f>
        <v>0.00</v>
      </c>
      <c r="G426" t="str">
        <f>VLOOKUP(A426,Datos!$A$2:$H$1084,8,FALSE)</f>
        <v>0.04</v>
      </c>
    </row>
    <row r="427" spans="1:7" x14ac:dyDescent="0.3">
      <c r="A427" s="1">
        <v>72723</v>
      </c>
      <c r="B427" t="str">
        <f>VLOOKUP(A427,Datos!$A$2:$H$1084,3,FALSE)</f>
        <v>17.23</v>
      </c>
      <c r="C427" t="str">
        <f>VLOOKUP(A427,Datos!$A$2:$H$1084,4,FALSE)</f>
        <v>0.00</v>
      </c>
      <c r="D427" t="str">
        <f>VLOOKUP(A427,Datos!$A$2:$H$1084,5,FALSE)</f>
        <v>0.01</v>
      </c>
      <c r="E427" t="str">
        <f>VLOOKUP(A427,Datos!$A$2:$H$1084,6,FALSE)</f>
        <v>5.62</v>
      </c>
      <c r="F427" t="str">
        <f>VLOOKUP(A427,Datos!$A$2:$H$1084,7,FALSE)</f>
        <v>0.00</v>
      </c>
      <c r="G427" t="str">
        <f>VLOOKUP(A427,Datos!$A$2:$H$1084,8,FALSE)</f>
        <v>0.01</v>
      </c>
    </row>
    <row r="428" spans="1:7" x14ac:dyDescent="0.3">
      <c r="A428" s="1">
        <v>57949</v>
      </c>
      <c r="B428" t="str">
        <f>VLOOKUP(A428,Datos!$A$2:$H$1084,3,FALSE)</f>
        <v>73.68</v>
      </c>
      <c r="C428" t="str">
        <f>VLOOKUP(A428,Datos!$A$2:$H$1084,4,FALSE)</f>
        <v>0.00</v>
      </c>
      <c r="D428" t="str">
        <f>VLOOKUP(A428,Datos!$A$2:$H$1084,5,FALSE)</f>
        <v>0.01</v>
      </c>
      <c r="E428" t="str">
        <f>VLOOKUP(A428,Datos!$A$2:$H$1084,6,FALSE)</f>
        <v>1.26</v>
      </c>
      <c r="F428" t="str">
        <f>VLOOKUP(A428,Datos!$A$2:$H$1084,7,FALSE)</f>
        <v>0.00</v>
      </c>
      <c r="G428" t="str">
        <f>VLOOKUP(A428,Datos!$A$2:$H$1084,8,FALSE)</f>
        <v>0.00</v>
      </c>
    </row>
    <row r="429" spans="1:7" x14ac:dyDescent="0.3">
      <c r="A429" s="1">
        <v>76354</v>
      </c>
      <c r="B429" t="str">
        <f>VLOOKUP(A429,Datos!$A$2:$H$1084,3,FALSE)</f>
        <v>62.42</v>
      </c>
      <c r="C429" t="str">
        <f>VLOOKUP(A429,Datos!$A$2:$H$1084,4,FALSE)</f>
        <v>0.00</v>
      </c>
      <c r="D429" t="str">
        <f>VLOOKUP(A429,Datos!$A$2:$H$1084,5,FALSE)</f>
        <v>0.06</v>
      </c>
      <c r="E429" t="str">
        <f>VLOOKUP(A429,Datos!$A$2:$H$1084,6,FALSE)</f>
        <v>2.85</v>
      </c>
      <c r="F429" t="str">
        <f>VLOOKUP(A429,Datos!$A$2:$H$1084,7,FALSE)</f>
        <v>0.00</v>
      </c>
      <c r="G429" t="str">
        <f>VLOOKUP(A429,Datos!$A$2:$H$1084,8,FALSE)</f>
        <v>0.01</v>
      </c>
    </row>
    <row r="430" spans="1:7" x14ac:dyDescent="0.3">
      <c r="A430" s="1">
        <v>147785</v>
      </c>
      <c r="B430" t="str">
        <f>VLOOKUP(A430,Datos!$A$2:$H$1084,3,FALSE)</f>
        <v>87.03</v>
      </c>
      <c r="C430" t="str">
        <f>VLOOKUP(A430,Datos!$A$2:$H$1084,4,FALSE)</f>
        <v>0.01</v>
      </c>
      <c r="D430" t="str">
        <f>VLOOKUP(A430,Datos!$A$2:$H$1084,5,FALSE)</f>
        <v>1.03</v>
      </c>
      <c r="E430" t="str">
        <f>VLOOKUP(A430,Datos!$A$2:$H$1084,6,FALSE)</f>
        <v>32.14</v>
      </c>
      <c r="F430" t="str">
        <f>VLOOKUP(A430,Datos!$A$2:$H$1084,7,FALSE)</f>
        <v>0.01</v>
      </c>
      <c r="G430" t="str">
        <f>VLOOKUP(A430,Datos!$A$2:$H$1084,8,FALSE)</f>
        <v>0.28</v>
      </c>
    </row>
    <row r="431" spans="1:7" x14ac:dyDescent="0.3">
      <c r="A431" s="1">
        <v>147766</v>
      </c>
      <c r="B431" t="str">
        <f>VLOOKUP(A431,Datos!$A$2:$H$1084,3,FALSE)</f>
        <v>85.74</v>
      </c>
      <c r="C431" t="str">
        <f>VLOOKUP(A431,Datos!$A$2:$H$1084,4,FALSE)</f>
        <v>0.00</v>
      </c>
      <c r="D431" t="str">
        <f>VLOOKUP(A431,Datos!$A$2:$H$1084,5,FALSE)</f>
        <v>0.21</v>
      </c>
      <c r="E431" t="str">
        <f>VLOOKUP(A431,Datos!$A$2:$H$1084,6,FALSE)</f>
        <v>9.36</v>
      </c>
      <c r="F431" t="str">
        <f>VLOOKUP(A431,Datos!$A$2:$H$1084,7,FALSE)</f>
        <v>0.00</v>
      </c>
      <c r="G431" t="str">
        <f>VLOOKUP(A431,Datos!$A$2:$H$1084,8,FALSE)</f>
        <v>0.03</v>
      </c>
    </row>
    <row r="432" spans="1:7" x14ac:dyDescent="0.3">
      <c r="A432" s="1">
        <v>62936</v>
      </c>
      <c r="B432" t="str">
        <f>VLOOKUP(A432,Datos!$A$2:$H$1084,3,FALSE)</f>
        <v>39.79</v>
      </c>
      <c r="C432" t="str">
        <f>VLOOKUP(A432,Datos!$A$2:$H$1084,4,FALSE)</f>
        <v>0.00</v>
      </c>
      <c r="D432" t="str">
        <f>VLOOKUP(A432,Datos!$A$2:$H$1084,5,FALSE)</f>
        <v>0.40</v>
      </c>
      <c r="E432" t="str">
        <f>VLOOKUP(A432,Datos!$A$2:$H$1084,6,FALSE)</f>
        <v>11.30</v>
      </c>
      <c r="F432" t="str">
        <f>VLOOKUP(A432,Datos!$A$2:$H$1084,7,FALSE)</f>
        <v>0.00</v>
      </c>
      <c r="G432" t="str">
        <f>VLOOKUP(A432,Datos!$A$2:$H$1084,8,FALSE)</f>
        <v>0.05</v>
      </c>
    </row>
    <row r="433" spans="1:7" x14ac:dyDescent="0.3">
      <c r="A433" s="1">
        <v>170101</v>
      </c>
      <c r="B433" t="str">
        <f>VLOOKUP(A433,Datos!$A$2:$H$1084,3,FALSE)</f>
        <v>74.83</v>
      </c>
      <c r="C433" t="str">
        <f>VLOOKUP(A433,Datos!$A$2:$H$1084,4,FALSE)</f>
        <v>0.00</v>
      </c>
      <c r="D433" t="str">
        <f>VLOOKUP(A433,Datos!$A$2:$H$1084,5,FALSE)</f>
        <v>0.78</v>
      </c>
      <c r="E433" t="str">
        <f>VLOOKUP(A433,Datos!$A$2:$H$1084,6,FALSE)</f>
        <v>7.73</v>
      </c>
      <c r="F433" t="str">
        <f>VLOOKUP(A433,Datos!$A$2:$H$1084,7,FALSE)</f>
        <v>0.00</v>
      </c>
      <c r="G433" t="str">
        <f>VLOOKUP(A433,Datos!$A$2:$H$1084,8,FALSE)</f>
        <v>0.08</v>
      </c>
    </row>
    <row r="434" spans="1:7" x14ac:dyDescent="0.3">
      <c r="A434" s="1">
        <v>603595</v>
      </c>
      <c r="B434" t="str">
        <f>VLOOKUP(A434,Datos!$A$2:$H$1084,3,FALSE)</f>
        <v>108.76</v>
      </c>
      <c r="C434" t="str">
        <f>VLOOKUP(A434,Datos!$A$2:$H$1084,4,FALSE)</f>
        <v>0.00</v>
      </c>
      <c r="D434" t="str">
        <f>VLOOKUP(A434,Datos!$A$2:$H$1084,5,FALSE)</f>
        <v>1.73</v>
      </c>
      <c r="E434" t="str">
        <f>VLOOKUP(A434,Datos!$A$2:$H$1084,6,FALSE)</f>
        <v>2.46</v>
      </c>
      <c r="F434" t="str">
        <f>VLOOKUP(A434,Datos!$A$2:$H$1084,7,FALSE)</f>
        <v>0.00</v>
      </c>
      <c r="G434" t="str">
        <f>VLOOKUP(A434,Datos!$A$2:$H$1084,8,FALSE)</f>
        <v>0.02</v>
      </c>
    </row>
    <row r="435" spans="1:7" x14ac:dyDescent="0.3">
      <c r="A435" s="1">
        <v>863625</v>
      </c>
      <c r="B435" t="str">
        <f>VLOOKUP(A435,Datos!$A$2:$H$1084,3,FALSE)</f>
        <v>58.26</v>
      </c>
      <c r="C435" t="str">
        <f>VLOOKUP(A435,Datos!$A$2:$H$1084,4,FALSE)</f>
        <v>0.00</v>
      </c>
      <c r="D435" t="str">
        <f>VLOOKUP(A435,Datos!$A$2:$H$1084,5,FALSE)</f>
        <v>0.22</v>
      </c>
      <c r="E435" t="str">
        <f>VLOOKUP(A435,Datos!$A$2:$H$1084,6,FALSE)</f>
        <v>4.60</v>
      </c>
      <c r="F435" t="str">
        <f>VLOOKUP(A435,Datos!$A$2:$H$1084,7,FALSE)</f>
        <v>0.00</v>
      </c>
      <c r="G435" t="str">
        <f>VLOOKUP(A435,Datos!$A$2:$H$1084,8,FALSE)</f>
        <v>0.02</v>
      </c>
    </row>
    <row r="436" spans="1:7" x14ac:dyDescent="0.3">
      <c r="A436" s="1">
        <v>72803</v>
      </c>
      <c r="B436" t="str">
        <f>VLOOKUP(A436,Datos!$A$2:$H$1084,3,FALSE)</f>
        <v>54.55</v>
      </c>
      <c r="C436" t="str">
        <f>VLOOKUP(A436,Datos!$A$2:$H$1084,4,FALSE)</f>
        <v>0.01</v>
      </c>
      <c r="D436" t="str">
        <f>VLOOKUP(A436,Datos!$A$2:$H$1084,5,FALSE)</f>
        <v>0.09</v>
      </c>
      <c r="E436" t="str">
        <f>VLOOKUP(A436,Datos!$A$2:$H$1084,6,FALSE)</f>
        <v>5.01</v>
      </c>
      <c r="F436" t="str">
        <f>VLOOKUP(A436,Datos!$A$2:$H$1084,7,FALSE)</f>
        <v>0.01</v>
      </c>
      <c r="G436" t="str">
        <f>VLOOKUP(A436,Datos!$A$2:$H$1084,8,FALSE)</f>
        <v>0.02</v>
      </c>
    </row>
    <row r="437" spans="1:7" x14ac:dyDescent="0.3">
      <c r="A437" s="1">
        <v>465184</v>
      </c>
      <c r="B437" t="str">
        <f>VLOOKUP(A437,Datos!$A$2:$H$1084,3,FALSE)</f>
        <v>35.30</v>
      </c>
      <c r="C437" t="str">
        <f>VLOOKUP(A437,Datos!$A$2:$H$1084,4,FALSE)</f>
        <v>0.00</v>
      </c>
      <c r="D437" t="str">
        <f>VLOOKUP(A437,Datos!$A$2:$H$1084,5,FALSE)</f>
        <v>0.23</v>
      </c>
      <c r="E437" t="str">
        <f>VLOOKUP(A437,Datos!$A$2:$H$1084,6,FALSE)</f>
        <v>6.50</v>
      </c>
      <c r="F437" t="str">
        <f>VLOOKUP(A437,Datos!$A$2:$H$1084,7,FALSE)</f>
        <v>0.00</v>
      </c>
      <c r="G437" t="str">
        <f>VLOOKUP(A437,Datos!$A$2:$H$1084,8,FALSE)</f>
        <v>0.03</v>
      </c>
    </row>
    <row r="438" spans="1:7" x14ac:dyDescent="0.3">
      <c r="A438" s="1">
        <v>66859</v>
      </c>
      <c r="B438" t="str">
        <f>VLOOKUP(A438,Datos!$A$2:$H$1084,3,FALSE)</f>
        <v>56.53</v>
      </c>
      <c r="C438" t="str">
        <f>VLOOKUP(A438,Datos!$A$2:$H$1084,4,FALSE)</f>
        <v>0.00</v>
      </c>
      <c r="D438" t="str">
        <f>VLOOKUP(A438,Datos!$A$2:$H$1084,5,FALSE)</f>
        <v>0.01</v>
      </c>
      <c r="E438" t="str">
        <f>VLOOKUP(A438,Datos!$A$2:$H$1084,6,FALSE)</f>
        <v>0.06</v>
      </c>
      <c r="F438" t="str">
        <f>VLOOKUP(A438,Datos!$A$2:$H$1084,7,FALSE)</f>
        <v>0.00</v>
      </c>
      <c r="G438" t="str">
        <f>VLOOKUP(A438,Datos!$A$2:$H$1084,8,FALSE)</f>
        <v>0.00</v>
      </c>
    </row>
    <row r="439" spans="1:7" x14ac:dyDescent="0.3">
      <c r="A439" s="1">
        <v>790115</v>
      </c>
      <c r="B439" t="str">
        <f>VLOOKUP(A439,Datos!$A$2:$H$1084,3,FALSE)</f>
        <v>25.03</v>
      </c>
      <c r="C439" t="str">
        <f>VLOOKUP(A439,Datos!$A$2:$H$1084,4,FALSE)</f>
        <v>0.00</v>
      </c>
      <c r="D439" t="str">
        <f>VLOOKUP(A439,Datos!$A$2:$H$1084,5,FALSE)</f>
        <v>0.60</v>
      </c>
      <c r="E439" t="str">
        <f>VLOOKUP(A439,Datos!$A$2:$H$1084,6,FALSE)</f>
        <v>2.42</v>
      </c>
      <c r="F439" t="str">
        <f>VLOOKUP(A439,Datos!$A$2:$H$1084,7,FALSE)</f>
        <v>0.00</v>
      </c>
      <c r="G439" t="str">
        <f>VLOOKUP(A439,Datos!$A$2:$H$1084,8,FALSE)</f>
        <v>0.05</v>
      </c>
    </row>
    <row r="440" spans="1:7" x14ac:dyDescent="0.3">
      <c r="A440" s="1">
        <v>160593</v>
      </c>
      <c r="B440" t="str">
        <f>VLOOKUP(A440,Datos!$A$2:$H$1084,3,FALSE)</f>
        <v>57.52</v>
      </c>
      <c r="C440" t="str">
        <f>VLOOKUP(A440,Datos!$A$2:$H$1084,4,FALSE)</f>
        <v>0.00</v>
      </c>
      <c r="D440" t="str">
        <f>VLOOKUP(A440,Datos!$A$2:$H$1084,5,FALSE)</f>
        <v>0.48</v>
      </c>
      <c r="E440" t="str">
        <f>VLOOKUP(A440,Datos!$A$2:$H$1084,6,FALSE)</f>
        <v>44.25</v>
      </c>
      <c r="F440" t="str">
        <f>VLOOKUP(A440,Datos!$A$2:$H$1084,7,FALSE)</f>
        <v>0.00</v>
      </c>
      <c r="G440" t="str">
        <f>VLOOKUP(A440,Datos!$A$2:$H$1084,8,FALSE)</f>
        <v>0.07</v>
      </c>
    </row>
    <row r="441" spans="1:7" x14ac:dyDescent="0.3">
      <c r="A441" s="1">
        <v>463019</v>
      </c>
      <c r="B441" t="str">
        <f>VLOOKUP(A441,Datos!$A$2:$H$1084,3,FALSE)</f>
        <v>44.83</v>
      </c>
      <c r="C441" t="str">
        <f>VLOOKUP(A441,Datos!$A$2:$H$1084,4,FALSE)</f>
        <v>0.00</v>
      </c>
      <c r="D441" t="str">
        <f>VLOOKUP(A441,Datos!$A$2:$H$1084,5,FALSE)</f>
        <v>0.20</v>
      </c>
      <c r="E441" t="str">
        <f>VLOOKUP(A441,Datos!$A$2:$H$1084,6,FALSE)</f>
        <v>9.98</v>
      </c>
      <c r="F441" t="str">
        <f>VLOOKUP(A441,Datos!$A$2:$H$1084,7,FALSE)</f>
        <v>0.00</v>
      </c>
      <c r="G441" t="str">
        <f>VLOOKUP(A441,Datos!$A$2:$H$1084,8,FALSE)</f>
        <v>0.03</v>
      </c>
    </row>
    <row r="442" spans="1:7" x14ac:dyDescent="0.3">
      <c r="A442" s="1">
        <v>487628</v>
      </c>
      <c r="B442" t="str">
        <f>VLOOKUP(A442,Datos!$A$2:$H$1084,3,FALSE)</f>
        <v>474.73</v>
      </c>
      <c r="C442" t="str">
        <f>VLOOKUP(A442,Datos!$A$2:$H$1084,4,FALSE)</f>
        <v>0.00</v>
      </c>
      <c r="D442" t="str">
        <f>VLOOKUP(A442,Datos!$A$2:$H$1084,5,FALSE)</f>
        <v>1.68</v>
      </c>
      <c r="E442" t="str">
        <f>VLOOKUP(A442,Datos!$A$2:$H$1084,6,FALSE)</f>
        <v>17.65</v>
      </c>
      <c r="F442" t="str">
        <f>VLOOKUP(A442,Datos!$A$2:$H$1084,7,FALSE)</f>
        <v>0.00</v>
      </c>
      <c r="G442" t="str">
        <f>VLOOKUP(A442,Datos!$A$2:$H$1084,8,FALSE)</f>
        <v>0.11</v>
      </c>
    </row>
    <row r="443" spans="1:7" x14ac:dyDescent="0.3">
      <c r="A443" s="1">
        <v>90473</v>
      </c>
      <c r="B443" t="str">
        <f>VLOOKUP(A443,Datos!$A$2:$H$1084,3,FALSE)</f>
        <v>91.15</v>
      </c>
      <c r="C443" t="str">
        <f>VLOOKUP(A443,Datos!$A$2:$H$1084,4,FALSE)</f>
        <v>0.00</v>
      </c>
      <c r="D443" t="str">
        <f>VLOOKUP(A443,Datos!$A$2:$H$1084,5,FALSE)</f>
        <v>0.43</v>
      </c>
      <c r="E443" t="str">
        <f>VLOOKUP(A443,Datos!$A$2:$H$1084,6,FALSE)</f>
        <v>8.59</v>
      </c>
      <c r="F443" t="str">
        <f>VLOOKUP(A443,Datos!$A$2:$H$1084,7,FALSE)</f>
        <v>0.00</v>
      </c>
      <c r="G443" t="str">
        <f>VLOOKUP(A443,Datos!$A$2:$H$1084,8,FALSE)</f>
        <v>0.03</v>
      </c>
    </row>
    <row r="444" spans="1:7" x14ac:dyDescent="0.3">
      <c r="A444" s="1">
        <v>550035</v>
      </c>
      <c r="B444" t="str">
        <f>VLOOKUP(A444,Datos!$A$2:$H$1084,3,FALSE)</f>
        <v>92.14</v>
      </c>
      <c r="C444" t="str">
        <f>VLOOKUP(A444,Datos!$A$2:$H$1084,4,FALSE)</f>
        <v>0.00</v>
      </c>
      <c r="D444" t="str">
        <f>VLOOKUP(A444,Datos!$A$2:$H$1084,5,FALSE)</f>
        <v>0.09</v>
      </c>
      <c r="E444" t="str">
        <f>VLOOKUP(A444,Datos!$A$2:$H$1084,6,FALSE)</f>
        <v>2.53</v>
      </c>
      <c r="F444" t="str">
        <f>VLOOKUP(A444,Datos!$A$2:$H$1084,7,FALSE)</f>
        <v>0.00</v>
      </c>
      <c r="G444" t="str">
        <f>VLOOKUP(A444,Datos!$A$2:$H$1084,8,FALSE)</f>
        <v>0.01</v>
      </c>
    </row>
    <row r="445" spans="1:7" x14ac:dyDescent="0.3">
      <c r="A445" s="1">
        <v>79456</v>
      </c>
      <c r="B445" t="str">
        <f>VLOOKUP(A445,Datos!$A$2:$H$1084,3,FALSE)</f>
        <v>54.17</v>
      </c>
      <c r="C445" t="str">
        <f>VLOOKUP(A445,Datos!$A$2:$H$1084,4,FALSE)</f>
        <v>0.00</v>
      </c>
      <c r="D445" t="str">
        <f>VLOOKUP(A445,Datos!$A$2:$H$1084,5,FALSE)</f>
        <v>0.92</v>
      </c>
      <c r="E445" t="str">
        <f>VLOOKUP(A445,Datos!$A$2:$H$1084,6,FALSE)</f>
        <v>28.05</v>
      </c>
      <c r="F445" t="str">
        <f>VLOOKUP(A445,Datos!$A$2:$H$1084,7,FALSE)</f>
        <v>0.00</v>
      </c>
      <c r="G445" t="str">
        <f>VLOOKUP(A445,Datos!$A$2:$H$1084,8,FALSE)</f>
        <v>0.15</v>
      </c>
    </row>
    <row r="446" spans="1:7" x14ac:dyDescent="0.3">
      <c r="A446" s="1">
        <v>49049</v>
      </c>
      <c r="B446" t="str">
        <f>VLOOKUP(A446,Datos!$A$2:$H$1084,3,FALSE)</f>
        <v>19.66</v>
      </c>
      <c r="C446" t="str">
        <f>VLOOKUP(A446,Datos!$A$2:$H$1084,4,FALSE)</f>
        <v>0.00</v>
      </c>
      <c r="D446" t="str">
        <f>VLOOKUP(A446,Datos!$A$2:$H$1084,5,FALSE)</f>
        <v>0.02</v>
      </c>
      <c r="E446" t="str">
        <f>VLOOKUP(A446,Datos!$A$2:$H$1084,6,FALSE)</f>
        <v>0.85</v>
      </c>
      <c r="F446" t="str">
        <f>VLOOKUP(A446,Datos!$A$2:$H$1084,7,FALSE)</f>
        <v>0.00</v>
      </c>
      <c r="G446" t="str">
        <f>VLOOKUP(A446,Datos!$A$2:$H$1084,8,FALSE)</f>
        <v>0.01</v>
      </c>
    </row>
    <row r="447" spans="1:7" x14ac:dyDescent="0.3">
      <c r="A447" s="1">
        <v>452110</v>
      </c>
      <c r="B447" t="str">
        <f>VLOOKUP(A447,Datos!$A$2:$H$1084,3,FALSE)</f>
        <v>40.70</v>
      </c>
      <c r="C447" t="str">
        <f>VLOOKUP(A447,Datos!$A$2:$H$1084,4,FALSE)</f>
        <v>0.00</v>
      </c>
      <c r="D447" t="str">
        <f>VLOOKUP(A447,Datos!$A$2:$H$1084,5,FALSE)</f>
        <v>0.09</v>
      </c>
      <c r="E447" t="str">
        <f>VLOOKUP(A447,Datos!$A$2:$H$1084,6,FALSE)</f>
        <v>15.62</v>
      </c>
      <c r="F447" t="str">
        <f>VLOOKUP(A447,Datos!$A$2:$H$1084,7,FALSE)</f>
        <v>0.00</v>
      </c>
      <c r="G447" t="str">
        <f>VLOOKUP(A447,Datos!$A$2:$H$1084,8,FALSE)</f>
        <v>0.01</v>
      </c>
    </row>
    <row r="448" spans="1:7" x14ac:dyDescent="0.3">
      <c r="A448" s="1">
        <v>455458</v>
      </c>
      <c r="B448" t="str">
        <f>VLOOKUP(A448,Datos!$A$2:$H$1084,3,FALSE)</f>
        <v>59.62</v>
      </c>
      <c r="C448" t="str">
        <f>VLOOKUP(A448,Datos!$A$2:$H$1084,4,FALSE)</f>
        <v>0.00</v>
      </c>
      <c r="D448" t="str">
        <f>VLOOKUP(A448,Datos!$A$2:$H$1084,5,FALSE)</f>
        <v>0.84</v>
      </c>
      <c r="E448" t="str">
        <f>VLOOKUP(A448,Datos!$A$2:$H$1084,6,FALSE)</f>
        <v>8.51</v>
      </c>
      <c r="F448" t="str">
        <f>VLOOKUP(A448,Datos!$A$2:$H$1084,7,FALSE)</f>
        <v>0.00</v>
      </c>
      <c r="G448" t="str">
        <f>VLOOKUP(A448,Datos!$A$2:$H$1084,8,FALSE)</f>
        <v>0.05</v>
      </c>
    </row>
    <row r="449" spans="1:7" x14ac:dyDescent="0.3">
      <c r="A449" s="1">
        <v>397492</v>
      </c>
      <c r="B449" t="str">
        <f>VLOOKUP(A449,Datos!$A$2:$H$1084,3,FALSE)</f>
        <v>97.51</v>
      </c>
      <c r="C449" t="str">
        <f>VLOOKUP(A449,Datos!$A$2:$H$1084,4,FALSE)</f>
        <v>0.01</v>
      </c>
      <c r="D449" t="str">
        <f>VLOOKUP(A449,Datos!$A$2:$H$1084,5,FALSE)</f>
        <v>0.74</v>
      </c>
      <c r="E449" t="str">
        <f>VLOOKUP(A449,Datos!$A$2:$H$1084,6,FALSE)</f>
        <v>22.63</v>
      </c>
      <c r="F449" t="str">
        <f>VLOOKUP(A449,Datos!$A$2:$H$1084,7,FALSE)</f>
        <v>0.01</v>
      </c>
      <c r="G449" t="str">
        <f>VLOOKUP(A449,Datos!$A$2:$H$1084,8,FALSE)</f>
        <v>0.07</v>
      </c>
    </row>
    <row r="450" spans="1:7" x14ac:dyDescent="0.3">
      <c r="A450" s="1">
        <v>155394</v>
      </c>
      <c r="B450" t="str">
        <f>VLOOKUP(A450,Datos!$A$2:$H$1084,3,FALSE)</f>
        <v>95.89</v>
      </c>
      <c r="C450" t="str">
        <f>VLOOKUP(A450,Datos!$A$2:$H$1084,4,FALSE)</f>
        <v>0.00</v>
      </c>
      <c r="D450" t="str">
        <f>VLOOKUP(A450,Datos!$A$2:$H$1084,5,FALSE)</f>
        <v>2.15</v>
      </c>
      <c r="E450" t="str">
        <f>VLOOKUP(A450,Datos!$A$2:$H$1084,6,FALSE)</f>
        <v>8.53</v>
      </c>
      <c r="F450" t="str">
        <f>VLOOKUP(A450,Datos!$A$2:$H$1084,7,FALSE)</f>
        <v>0.00</v>
      </c>
      <c r="G450" t="str">
        <f>VLOOKUP(A450,Datos!$A$2:$H$1084,8,FALSE)</f>
        <v>0.07</v>
      </c>
    </row>
    <row r="451" spans="1:7" x14ac:dyDescent="0.3">
      <c r="A451" s="1">
        <v>459753</v>
      </c>
      <c r="B451" t="str">
        <f>VLOOKUP(A451,Datos!$A$2:$H$1084,3,FALSE)</f>
        <v>74.71</v>
      </c>
      <c r="C451" t="str">
        <f>VLOOKUP(A451,Datos!$A$2:$H$1084,4,FALSE)</f>
        <v>0.00</v>
      </c>
      <c r="D451" t="str">
        <f>VLOOKUP(A451,Datos!$A$2:$H$1084,5,FALSE)</f>
        <v>0.88</v>
      </c>
      <c r="E451" t="str">
        <f>VLOOKUP(A451,Datos!$A$2:$H$1084,6,FALSE)</f>
        <v>10.28</v>
      </c>
      <c r="F451" t="str">
        <f>VLOOKUP(A451,Datos!$A$2:$H$1084,7,FALSE)</f>
        <v>0.00</v>
      </c>
      <c r="G451" t="str">
        <f>VLOOKUP(A451,Datos!$A$2:$H$1084,8,FALSE)</f>
        <v>0.11</v>
      </c>
    </row>
    <row r="452" spans="1:7" x14ac:dyDescent="0.3">
      <c r="A452" s="1">
        <v>486445</v>
      </c>
      <c r="B452" t="str">
        <f>VLOOKUP(A452,Datos!$A$2:$H$1084,3,FALSE)</f>
        <v>90.94</v>
      </c>
      <c r="C452" t="str">
        <f>VLOOKUP(A452,Datos!$A$2:$H$1084,4,FALSE)</f>
        <v>0.00</v>
      </c>
      <c r="D452" t="str">
        <f>VLOOKUP(A452,Datos!$A$2:$H$1084,5,FALSE)</f>
        <v>0.14</v>
      </c>
      <c r="E452" t="str">
        <f>VLOOKUP(A452,Datos!$A$2:$H$1084,6,FALSE)</f>
        <v>8.86</v>
      </c>
      <c r="F452" t="str">
        <f>VLOOKUP(A452,Datos!$A$2:$H$1084,7,FALSE)</f>
        <v>0.00</v>
      </c>
      <c r="G452" t="str">
        <f>VLOOKUP(A452,Datos!$A$2:$H$1084,8,FALSE)</f>
        <v>0.01</v>
      </c>
    </row>
    <row r="453" spans="1:7" x14ac:dyDescent="0.3">
      <c r="A453" s="1">
        <v>70390</v>
      </c>
      <c r="B453" t="str">
        <f>VLOOKUP(A453,Datos!$A$2:$H$1084,3,FALSE)</f>
        <v>128.56</v>
      </c>
      <c r="C453" t="str">
        <f>VLOOKUP(A453,Datos!$A$2:$H$1084,4,FALSE)</f>
        <v>0.00</v>
      </c>
      <c r="D453" t="str">
        <f>VLOOKUP(A453,Datos!$A$2:$H$1084,5,FALSE)</f>
        <v>2.07</v>
      </c>
      <c r="E453" t="str">
        <f>VLOOKUP(A453,Datos!$A$2:$H$1084,6,FALSE)</f>
        <v>35.84</v>
      </c>
      <c r="F453" t="str">
        <f>VLOOKUP(A453,Datos!$A$2:$H$1084,7,FALSE)</f>
        <v>0.00</v>
      </c>
      <c r="G453" t="str">
        <f>VLOOKUP(A453,Datos!$A$2:$H$1084,8,FALSE)</f>
        <v>0.22</v>
      </c>
    </row>
    <row r="454" spans="1:7" x14ac:dyDescent="0.3">
      <c r="A454" s="1">
        <v>155817</v>
      </c>
      <c r="B454" t="str">
        <f>VLOOKUP(A454,Datos!$A$2:$H$1084,3,FALSE)</f>
        <v>91.95</v>
      </c>
      <c r="C454" t="str">
        <f>VLOOKUP(A454,Datos!$A$2:$H$1084,4,FALSE)</f>
        <v>0.00</v>
      </c>
      <c r="D454" t="str">
        <f>VLOOKUP(A454,Datos!$A$2:$H$1084,5,FALSE)</f>
        <v>1.62</v>
      </c>
      <c r="E454" t="str">
        <f>VLOOKUP(A454,Datos!$A$2:$H$1084,6,FALSE)</f>
        <v>5.87</v>
      </c>
      <c r="F454" t="str">
        <f>VLOOKUP(A454,Datos!$A$2:$H$1084,7,FALSE)</f>
        <v>0.00</v>
      </c>
      <c r="G454" t="str">
        <f>VLOOKUP(A454,Datos!$A$2:$H$1084,8,FALSE)</f>
        <v>0.01</v>
      </c>
    </row>
    <row r="455" spans="1:7" x14ac:dyDescent="0.3">
      <c r="A455" s="1">
        <v>462289</v>
      </c>
      <c r="B455" t="str">
        <f>VLOOKUP(A455,Datos!$A$2:$H$1084,3,FALSE)</f>
        <v>52.97</v>
      </c>
      <c r="C455" t="str">
        <f>VLOOKUP(A455,Datos!$A$2:$H$1084,4,FALSE)</f>
        <v>0.01</v>
      </c>
      <c r="D455" t="str">
        <f>VLOOKUP(A455,Datos!$A$2:$H$1084,5,FALSE)</f>
        <v>0.40</v>
      </c>
      <c r="E455" t="str">
        <f>VLOOKUP(A455,Datos!$A$2:$H$1084,6,FALSE)</f>
        <v>8.12</v>
      </c>
      <c r="F455" t="str">
        <f>VLOOKUP(A455,Datos!$A$2:$H$1084,7,FALSE)</f>
        <v>0.01</v>
      </c>
      <c r="G455" t="str">
        <f>VLOOKUP(A455,Datos!$A$2:$H$1084,8,FALSE)</f>
        <v>0.03</v>
      </c>
    </row>
    <row r="456" spans="1:7" x14ac:dyDescent="0.3">
      <c r="A456" s="1">
        <v>146267</v>
      </c>
      <c r="B456" t="str">
        <f>VLOOKUP(A456,Datos!$A$2:$H$1084,3,FALSE)</f>
        <v>47.68</v>
      </c>
      <c r="C456" t="str">
        <f>VLOOKUP(A456,Datos!$A$2:$H$1084,4,FALSE)</f>
        <v>0.00</v>
      </c>
      <c r="D456" t="str">
        <f>VLOOKUP(A456,Datos!$A$2:$H$1084,5,FALSE)</f>
        <v>0.44</v>
      </c>
      <c r="E456" t="str">
        <f>VLOOKUP(A456,Datos!$A$2:$H$1084,6,FALSE)</f>
        <v>12.85</v>
      </c>
      <c r="F456" t="str">
        <f>VLOOKUP(A456,Datos!$A$2:$H$1084,7,FALSE)</f>
        <v>0.00</v>
      </c>
      <c r="G456" t="str">
        <f>VLOOKUP(A456,Datos!$A$2:$H$1084,8,FALSE)</f>
        <v>0.05</v>
      </c>
    </row>
    <row r="457" spans="1:7" x14ac:dyDescent="0.3">
      <c r="A457" s="1">
        <v>44532</v>
      </c>
      <c r="B457" t="str">
        <f>VLOOKUP(A457,Datos!$A$2:$H$1084,3,FALSE)</f>
        <v>24.29</v>
      </c>
      <c r="C457" t="str">
        <f>VLOOKUP(A457,Datos!$A$2:$H$1084,4,FALSE)</f>
        <v>0.00</v>
      </c>
      <c r="D457" t="str">
        <f>VLOOKUP(A457,Datos!$A$2:$H$1084,5,FALSE)</f>
        <v>0.03</v>
      </c>
      <c r="E457" t="str">
        <f>VLOOKUP(A457,Datos!$A$2:$H$1084,6,FALSE)</f>
        <v>6.82</v>
      </c>
      <c r="F457" t="str">
        <f>VLOOKUP(A457,Datos!$A$2:$H$1084,7,FALSE)</f>
        <v>0.00</v>
      </c>
      <c r="G457" t="str">
        <f>VLOOKUP(A457,Datos!$A$2:$H$1084,8,FALSE)</f>
        <v>0.01</v>
      </c>
    </row>
    <row r="458" spans="1:7" x14ac:dyDescent="0.3">
      <c r="A458" s="1">
        <v>558569</v>
      </c>
      <c r="B458" t="str">
        <f>VLOOKUP(A458,Datos!$A$2:$H$1084,3,FALSE)</f>
        <v>65.22</v>
      </c>
      <c r="C458" t="str">
        <f>VLOOKUP(A458,Datos!$A$2:$H$1084,4,FALSE)</f>
        <v>0.00</v>
      </c>
      <c r="D458" t="str">
        <f>VLOOKUP(A458,Datos!$A$2:$H$1084,5,FALSE)</f>
        <v>0.94</v>
      </c>
      <c r="E458" t="str">
        <f>VLOOKUP(A458,Datos!$A$2:$H$1084,6,FALSE)</f>
        <v>31.92</v>
      </c>
      <c r="F458" t="str">
        <f>VLOOKUP(A458,Datos!$A$2:$H$1084,7,FALSE)</f>
        <v>0.01</v>
      </c>
      <c r="G458" t="str">
        <f>VLOOKUP(A458,Datos!$A$2:$H$1084,8,FALSE)</f>
        <v>0.10</v>
      </c>
    </row>
    <row r="459" spans="1:7" x14ac:dyDescent="0.3">
      <c r="A459" s="1">
        <v>51787</v>
      </c>
      <c r="B459" t="str">
        <f>VLOOKUP(A459,Datos!$A$2:$H$1084,3,FALSE)</f>
        <v>30.29</v>
      </c>
      <c r="C459" t="str">
        <f>VLOOKUP(A459,Datos!$A$2:$H$1084,4,FALSE)</f>
        <v>0.00</v>
      </c>
      <c r="D459" t="str">
        <f>VLOOKUP(A459,Datos!$A$2:$H$1084,5,FALSE)</f>
        <v>0.55</v>
      </c>
      <c r="E459" t="str">
        <f>VLOOKUP(A459,Datos!$A$2:$H$1084,6,FALSE)</f>
        <v>5.69</v>
      </c>
      <c r="F459" t="str">
        <f>VLOOKUP(A459,Datos!$A$2:$H$1084,7,FALSE)</f>
        <v>0.00</v>
      </c>
      <c r="G459" t="str">
        <f>VLOOKUP(A459,Datos!$A$2:$H$1084,8,FALSE)</f>
        <v>0.06</v>
      </c>
    </row>
    <row r="460" spans="1:7" x14ac:dyDescent="0.3">
      <c r="A460" s="1">
        <v>155638</v>
      </c>
      <c r="B460" t="str">
        <f>VLOOKUP(A460,Datos!$A$2:$H$1084,3,FALSE)</f>
        <v>24.32</v>
      </c>
      <c r="C460" t="str">
        <f>VLOOKUP(A460,Datos!$A$2:$H$1084,4,FALSE)</f>
        <v>0.00</v>
      </c>
      <c r="D460" t="str">
        <f>VLOOKUP(A460,Datos!$A$2:$H$1084,5,FALSE)</f>
        <v>0.27</v>
      </c>
      <c r="E460" t="str">
        <f>VLOOKUP(A460,Datos!$A$2:$H$1084,6,FALSE)</f>
        <v>11.66</v>
      </c>
      <c r="F460" t="str">
        <f>VLOOKUP(A460,Datos!$A$2:$H$1084,7,FALSE)</f>
        <v>0.00</v>
      </c>
      <c r="G460" t="str">
        <f>VLOOKUP(A460,Datos!$A$2:$H$1084,8,FALSE)</f>
        <v>0.03</v>
      </c>
    </row>
    <row r="461" spans="1:7" x14ac:dyDescent="0.3">
      <c r="A461" s="1">
        <v>52188</v>
      </c>
      <c r="B461" t="str">
        <f>VLOOKUP(A461,Datos!$A$2:$H$1084,3,FALSE)</f>
        <v>44.42</v>
      </c>
      <c r="C461" t="str">
        <f>VLOOKUP(A461,Datos!$A$2:$H$1084,4,FALSE)</f>
        <v>0.00</v>
      </c>
      <c r="D461" t="str">
        <f>VLOOKUP(A461,Datos!$A$2:$H$1084,5,FALSE)</f>
        <v>0.07</v>
      </c>
      <c r="E461" t="str">
        <f>VLOOKUP(A461,Datos!$A$2:$H$1084,6,FALSE)</f>
        <v>7.73</v>
      </c>
      <c r="F461" t="str">
        <f>VLOOKUP(A461,Datos!$A$2:$H$1084,7,FALSE)</f>
        <v>0.01</v>
      </c>
      <c r="G461" t="str">
        <f>VLOOKUP(A461,Datos!$A$2:$H$1084,8,FALSE)</f>
        <v>0.02</v>
      </c>
    </row>
    <row r="462" spans="1:7" x14ac:dyDescent="0.3">
      <c r="A462" s="1">
        <v>486695</v>
      </c>
      <c r="B462" t="str">
        <f>VLOOKUP(A462,Datos!$A$2:$H$1084,3,FALSE)</f>
        <v>75.06</v>
      </c>
      <c r="C462" t="str">
        <f>VLOOKUP(A462,Datos!$A$2:$H$1084,4,FALSE)</f>
        <v>0.00</v>
      </c>
      <c r="D462" t="str">
        <f>VLOOKUP(A462,Datos!$A$2:$H$1084,5,FALSE)</f>
        <v>0.01</v>
      </c>
      <c r="E462" t="str">
        <f>VLOOKUP(A462,Datos!$A$2:$H$1084,6,FALSE)</f>
        <v>3.85</v>
      </c>
      <c r="F462" t="str">
        <f>VLOOKUP(A462,Datos!$A$2:$H$1084,7,FALSE)</f>
        <v>0.00</v>
      </c>
      <c r="G462" t="str">
        <f>VLOOKUP(A462,Datos!$A$2:$H$1084,8,FALSE)</f>
        <v>0.00</v>
      </c>
    </row>
    <row r="463" spans="1:7" x14ac:dyDescent="0.3">
      <c r="A463" s="1">
        <v>76434</v>
      </c>
      <c r="B463" t="str">
        <f>VLOOKUP(A463,Datos!$A$2:$H$1084,3,FALSE)</f>
        <v>54.04</v>
      </c>
      <c r="C463" t="str">
        <f>VLOOKUP(A463,Datos!$A$2:$H$1084,4,FALSE)</f>
        <v>0.00</v>
      </c>
      <c r="D463" t="str">
        <f>VLOOKUP(A463,Datos!$A$2:$H$1084,5,FALSE)</f>
        <v>0.24</v>
      </c>
      <c r="E463" t="str">
        <f>VLOOKUP(A463,Datos!$A$2:$H$1084,6,FALSE)</f>
        <v>4.82</v>
      </c>
      <c r="F463" t="str">
        <f>VLOOKUP(A463,Datos!$A$2:$H$1084,7,FALSE)</f>
        <v>0.00</v>
      </c>
      <c r="G463" t="str">
        <f>VLOOKUP(A463,Datos!$A$2:$H$1084,8,FALSE)</f>
        <v>0.02</v>
      </c>
    </row>
    <row r="464" spans="1:7" x14ac:dyDescent="0.3">
      <c r="A464" s="1">
        <v>146427</v>
      </c>
      <c r="B464" t="str">
        <f>VLOOKUP(A464,Datos!$A$2:$H$1084,3,FALSE)</f>
        <v>68.52</v>
      </c>
      <c r="C464" t="str">
        <f>VLOOKUP(A464,Datos!$A$2:$H$1084,4,FALSE)</f>
        <v>0.00</v>
      </c>
      <c r="D464" t="str">
        <f>VLOOKUP(A464,Datos!$A$2:$H$1084,5,FALSE)</f>
        <v>0.33</v>
      </c>
      <c r="E464" t="str">
        <f>VLOOKUP(A464,Datos!$A$2:$H$1084,6,FALSE)</f>
        <v>9.36</v>
      </c>
      <c r="F464" t="str">
        <f>VLOOKUP(A464,Datos!$A$2:$H$1084,7,FALSE)</f>
        <v>0.01</v>
      </c>
      <c r="G464" t="str">
        <f>VLOOKUP(A464,Datos!$A$2:$H$1084,8,FALSE)</f>
        <v>0.03</v>
      </c>
    </row>
    <row r="465" spans="1:7" x14ac:dyDescent="0.3">
      <c r="A465" s="1">
        <v>86008</v>
      </c>
      <c r="B465" t="str">
        <f>VLOOKUP(A465,Datos!$A$2:$H$1084,3,FALSE)</f>
        <v>85.30</v>
      </c>
      <c r="C465" t="str">
        <f>VLOOKUP(A465,Datos!$A$2:$H$1084,4,FALSE)</f>
        <v>0.00</v>
      </c>
      <c r="D465" t="str">
        <f>VLOOKUP(A465,Datos!$A$2:$H$1084,5,FALSE)</f>
        <v>0.56</v>
      </c>
      <c r="E465" t="str">
        <f>VLOOKUP(A465,Datos!$A$2:$H$1084,6,FALSE)</f>
        <v>22.65</v>
      </c>
      <c r="F465" t="str">
        <f>VLOOKUP(A465,Datos!$A$2:$H$1084,7,FALSE)</f>
        <v>0.00</v>
      </c>
      <c r="G465" t="str">
        <f>VLOOKUP(A465,Datos!$A$2:$H$1084,8,FALSE)</f>
        <v>0.09</v>
      </c>
    </row>
    <row r="466" spans="1:7" x14ac:dyDescent="0.3">
      <c r="A466" s="1">
        <v>67566</v>
      </c>
      <c r="B466" t="str">
        <f>VLOOKUP(A466,Datos!$A$2:$H$1084,3,FALSE)</f>
        <v>62.88</v>
      </c>
      <c r="C466" t="str">
        <f>VLOOKUP(A466,Datos!$A$2:$H$1084,4,FALSE)</f>
        <v>0.01</v>
      </c>
      <c r="D466" t="str">
        <f>VLOOKUP(A466,Datos!$A$2:$H$1084,5,FALSE)</f>
        <v>0.33</v>
      </c>
      <c r="E466" t="str">
        <f>VLOOKUP(A466,Datos!$A$2:$H$1084,6,FALSE)</f>
        <v>24.11</v>
      </c>
      <c r="F466" t="str">
        <f>VLOOKUP(A466,Datos!$A$2:$H$1084,7,FALSE)</f>
        <v>0.01</v>
      </c>
      <c r="G466" t="str">
        <f>VLOOKUP(A466,Datos!$A$2:$H$1084,8,FALSE)</f>
        <v>0.04</v>
      </c>
    </row>
    <row r="467" spans="1:7" x14ac:dyDescent="0.3">
      <c r="A467" s="1">
        <v>155351</v>
      </c>
      <c r="B467" t="str">
        <f>VLOOKUP(A467,Datos!$A$2:$H$1084,3,FALSE)</f>
        <v>69.06</v>
      </c>
      <c r="C467" t="str">
        <f>VLOOKUP(A467,Datos!$A$2:$H$1084,4,FALSE)</f>
        <v>0.00</v>
      </c>
      <c r="D467" t="str">
        <f>VLOOKUP(A467,Datos!$A$2:$H$1084,5,FALSE)</f>
        <v>0.75</v>
      </c>
      <c r="E467" t="str">
        <f>VLOOKUP(A467,Datos!$A$2:$H$1084,6,FALSE)</f>
        <v>7.72</v>
      </c>
      <c r="F467" t="str">
        <f>VLOOKUP(A467,Datos!$A$2:$H$1084,7,FALSE)</f>
        <v>0.00</v>
      </c>
      <c r="G467" t="str">
        <f>VLOOKUP(A467,Datos!$A$2:$H$1084,8,FALSE)</f>
        <v>0.06</v>
      </c>
    </row>
    <row r="468" spans="1:7" x14ac:dyDescent="0.3">
      <c r="A468" s="1">
        <v>550403</v>
      </c>
      <c r="B468" t="str">
        <f>VLOOKUP(A468,Datos!$A$2:$H$1084,3,FALSE)</f>
        <v>36.86</v>
      </c>
      <c r="C468" t="str">
        <f>VLOOKUP(A468,Datos!$A$2:$H$1084,4,FALSE)</f>
        <v>0.01</v>
      </c>
      <c r="D468" t="str">
        <f>VLOOKUP(A468,Datos!$A$2:$H$1084,5,FALSE)</f>
        <v>0.05</v>
      </c>
      <c r="E468" t="str">
        <f>VLOOKUP(A468,Datos!$A$2:$H$1084,6,FALSE)</f>
        <v>3.05</v>
      </c>
      <c r="F468" t="str">
        <f>VLOOKUP(A468,Datos!$A$2:$H$1084,7,FALSE)</f>
        <v>0.01</v>
      </c>
      <c r="G468" t="str">
        <f>VLOOKUP(A468,Datos!$A$2:$H$1084,8,FALSE)</f>
        <v>0.01</v>
      </c>
    </row>
    <row r="469" spans="1:7" x14ac:dyDescent="0.3">
      <c r="A469" s="1">
        <v>541197</v>
      </c>
      <c r="B469" t="str">
        <f>VLOOKUP(A469,Datos!$A$2:$H$1084,3,FALSE)</f>
        <v>74.97</v>
      </c>
      <c r="C469" t="str">
        <f>VLOOKUP(A469,Datos!$A$2:$H$1084,4,FALSE)</f>
        <v>0.00</v>
      </c>
      <c r="D469" t="str">
        <f>VLOOKUP(A469,Datos!$A$2:$H$1084,5,FALSE)</f>
        <v>0.04</v>
      </c>
      <c r="E469" t="str">
        <f>VLOOKUP(A469,Datos!$A$2:$H$1084,6,FALSE)</f>
        <v>63.16</v>
      </c>
      <c r="F469" t="str">
        <f>VLOOKUP(A469,Datos!$A$2:$H$1084,7,FALSE)</f>
        <v>0.00</v>
      </c>
      <c r="G469" t="str">
        <f>VLOOKUP(A469,Datos!$A$2:$H$1084,8,FALSE)</f>
        <v>0.01</v>
      </c>
    </row>
    <row r="470" spans="1:7" x14ac:dyDescent="0.3">
      <c r="A470" s="1">
        <v>47045</v>
      </c>
      <c r="B470" t="str">
        <f>VLOOKUP(A470,Datos!$A$2:$H$1084,3,FALSE)</f>
        <v>66.65</v>
      </c>
      <c r="C470" t="str">
        <f>VLOOKUP(A470,Datos!$A$2:$H$1084,4,FALSE)</f>
        <v>0.00</v>
      </c>
      <c r="D470" t="str">
        <f>VLOOKUP(A470,Datos!$A$2:$H$1084,5,FALSE)</f>
        <v>0.42</v>
      </c>
      <c r="E470" t="str">
        <f>VLOOKUP(A470,Datos!$A$2:$H$1084,6,FALSE)</f>
        <v>7.57</v>
      </c>
      <c r="F470" t="str">
        <f>VLOOKUP(A470,Datos!$A$2:$H$1084,7,FALSE)</f>
        <v>0.00</v>
      </c>
      <c r="G470" t="str">
        <f>VLOOKUP(A470,Datos!$A$2:$H$1084,8,FALSE)</f>
        <v>0.04</v>
      </c>
    </row>
    <row r="471" spans="1:7" x14ac:dyDescent="0.3">
      <c r="A471" s="1">
        <v>147851</v>
      </c>
      <c r="B471" t="str">
        <f>VLOOKUP(A471,Datos!$A$2:$H$1084,3,FALSE)</f>
        <v>71.09</v>
      </c>
      <c r="C471" t="str">
        <f>VLOOKUP(A471,Datos!$A$2:$H$1084,4,FALSE)</f>
        <v>0.00</v>
      </c>
      <c r="D471" t="str">
        <f>VLOOKUP(A471,Datos!$A$2:$H$1084,5,FALSE)</f>
        <v>1.24</v>
      </c>
      <c r="E471" t="str">
        <f>VLOOKUP(A471,Datos!$A$2:$H$1084,6,FALSE)</f>
        <v>17.74</v>
      </c>
      <c r="F471" t="str">
        <f>VLOOKUP(A471,Datos!$A$2:$H$1084,7,FALSE)</f>
        <v>0.00</v>
      </c>
      <c r="G471" t="str">
        <f>VLOOKUP(A471,Datos!$A$2:$H$1084,8,FALSE)</f>
        <v>0.15</v>
      </c>
    </row>
    <row r="472" spans="1:7" x14ac:dyDescent="0.3">
      <c r="A472" s="1">
        <v>58185</v>
      </c>
      <c r="B472" t="str">
        <f>VLOOKUP(A472,Datos!$A$2:$H$1084,3,FALSE)</f>
        <v>72.66</v>
      </c>
      <c r="C472" t="str">
        <f>VLOOKUP(A472,Datos!$A$2:$H$1084,4,FALSE)</f>
        <v>0.00</v>
      </c>
      <c r="D472" t="str">
        <f>VLOOKUP(A472,Datos!$A$2:$H$1084,5,FALSE)</f>
        <v>0.35</v>
      </c>
      <c r="E472" t="str">
        <f>VLOOKUP(A472,Datos!$A$2:$H$1084,6,FALSE)</f>
        <v>8.67</v>
      </c>
      <c r="F472" t="str">
        <f>VLOOKUP(A472,Datos!$A$2:$H$1084,7,FALSE)</f>
        <v>0.00</v>
      </c>
      <c r="G472" t="str">
        <f>VLOOKUP(A472,Datos!$A$2:$H$1084,8,FALSE)</f>
        <v>0.06</v>
      </c>
    </row>
    <row r="473" spans="1:7" x14ac:dyDescent="0.3">
      <c r="A473" s="1">
        <v>148600</v>
      </c>
      <c r="B473" t="str">
        <f>VLOOKUP(A473,Datos!$A$2:$H$1084,3,FALSE)</f>
        <v>28.63</v>
      </c>
      <c r="C473" t="str">
        <f>VLOOKUP(A473,Datos!$A$2:$H$1084,4,FALSE)</f>
        <v>0.00</v>
      </c>
      <c r="D473" t="str">
        <f>VLOOKUP(A473,Datos!$A$2:$H$1084,5,FALSE)</f>
        <v>0.03</v>
      </c>
      <c r="E473" t="str">
        <f>VLOOKUP(A473,Datos!$A$2:$H$1084,6,FALSE)</f>
        <v>5.04</v>
      </c>
      <c r="F473" t="str">
        <f>VLOOKUP(A473,Datos!$A$2:$H$1084,7,FALSE)</f>
        <v>0.00</v>
      </c>
      <c r="G473" t="str">
        <f>VLOOKUP(A473,Datos!$A$2:$H$1084,8,FALSE)</f>
        <v>0.01</v>
      </c>
    </row>
    <row r="474" spans="1:7" x14ac:dyDescent="0.3">
      <c r="A474" s="1">
        <v>159085</v>
      </c>
      <c r="B474" t="str">
        <f>VLOOKUP(A474,Datos!$A$2:$H$1084,3,FALSE)</f>
        <v>103.55</v>
      </c>
      <c r="C474" t="str">
        <f>VLOOKUP(A474,Datos!$A$2:$H$1084,4,FALSE)</f>
        <v>0.00</v>
      </c>
      <c r="D474" t="str">
        <f>VLOOKUP(A474,Datos!$A$2:$H$1084,5,FALSE)</f>
        <v>0.72</v>
      </c>
      <c r="E474" t="str">
        <f>VLOOKUP(A474,Datos!$A$2:$H$1084,6,FALSE)</f>
        <v>9.93</v>
      </c>
      <c r="F474" t="str">
        <f>VLOOKUP(A474,Datos!$A$2:$H$1084,7,FALSE)</f>
        <v>0.00</v>
      </c>
      <c r="G474" t="str">
        <f>VLOOKUP(A474,Datos!$A$2:$H$1084,8,FALSE)</f>
        <v>0.05</v>
      </c>
    </row>
    <row r="475" spans="1:7" x14ac:dyDescent="0.3">
      <c r="A475" s="1">
        <v>62559</v>
      </c>
      <c r="B475" t="str">
        <f>VLOOKUP(A475,Datos!$A$2:$H$1084,3,FALSE)</f>
        <v>25.57</v>
      </c>
      <c r="C475" t="str">
        <f>VLOOKUP(A475,Datos!$A$2:$H$1084,4,FALSE)</f>
        <v>0.01</v>
      </c>
      <c r="D475" t="str">
        <f>VLOOKUP(A475,Datos!$A$2:$H$1084,5,FALSE)</f>
        <v>0.03</v>
      </c>
      <c r="E475" t="str">
        <f>VLOOKUP(A475,Datos!$A$2:$H$1084,6,FALSE)</f>
        <v>4.21</v>
      </c>
      <c r="F475" t="str">
        <f>VLOOKUP(A475,Datos!$A$2:$H$1084,7,FALSE)</f>
        <v>0.01</v>
      </c>
      <c r="G475" t="str">
        <f>VLOOKUP(A475,Datos!$A$2:$H$1084,8,FALSE)</f>
        <v>0.01</v>
      </c>
    </row>
    <row r="476" spans="1:7" x14ac:dyDescent="0.3">
      <c r="A476" s="1">
        <v>443658</v>
      </c>
      <c r="B476" t="str">
        <f>VLOOKUP(A476,Datos!$A$2:$H$1084,3,FALSE)</f>
        <v>22.22</v>
      </c>
      <c r="C476" t="str">
        <f>VLOOKUP(A476,Datos!$A$2:$H$1084,4,FALSE)</f>
        <v>0.00</v>
      </c>
      <c r="D476" t="str">
        <f>VLOOKUP(A476,Datos!$A$2:$H$1084,5,FALSE)</f>
        <v>0.15</v>
      </c>
      <c r="E476" t="str">
        <f>VLOOKUP(A476,Datos!$A$2:$H$1084,6,FALSE)</f>
        <v>5.26</v>
      </c>
      <c r="F476" t="str">
        <f>VLOOKUP(A476,Datos!$A$2:$H$1084,7,FALSE)</f>
        <v>0.00</v>
      </c>
      <c r="G476" t="str">
        <f>VLOOKUP(A476,Datos!$A$2:$H$1084,8,FALSE)</f>
        <v>0.02</v>
      </c>
    </row>
    <row r="477" spans="1:7" x14ac:dyDescent="0.3">
      <c r="A477" s="1">
        <v>151782</v>
      </c>
      <c r="B477" t="str">
        <f>VLOOKUP(A477,Datos!$A$2:$H$1084,3,FALSE)</f>
        <v>17.03</v>
      </c>
      <c r="C477" t="str">
        <f>VLOOKUP(A477,Datos!$A$2:$H$1084,4,FALSE)</f>
        <v>0.00</v>
      </c>
      <c r="D477" t="str">
        <f>VLOOKUP(A477,Datos!$A$2:$H$1084,5,FALSE)</f>
        <v>0.07</v>
      </c>
      <c r="E477" t="str">
        <f>VLOOKUP(A477,Datos!$A$2:$H$1084,6,FALSE)</f>
        <v>4.74</v>
      </c>
      <c r="F477" t="str">
        <f>VLOOKUP(A477,Datos!$A$2:$H$1084,7,FALSE)</f>
        <v>0.00</v>
      </c>
      <c r="G477" t="str">
        <f>VLOOKUP(A477,Datos!$A$2:$H$1084,8,FALSE)</f>
        <v>0.01</v>
      </c>
    </row>
    <row r="478" spans="1:7" x14ac:dyDescent="0.3">
      <c r="A478" s="1">
        <v>79381</v>
      </c>
      <c r="B478" t="str">
        <f>VLOOKUP(A478,Datos!$A$2:$H$1084,3,FALSE)</f>
        <v>126.72</v>
      </c>
      <c r="C478" t="str">
        <f>VLOOKUP(A478,Datos!$A$2:$H$1084,4,FALSE)</f>
        <v>0.00</v>
      </c>
      <c r="D478" t="str">
        <f>VLOOKUP(A478,Datos!$A$2:$H$1084,5,FALSE)</f>
        <v>0.29</v>
      </c>
      <c r="E478" t="str">
        <f>VLOOKUP(A478,Datos!$A$2:$H$1084,6,FALSE)</f>
        <v>16.49</v>
      </c>
      <c r="F478" t="str">
        <f>VLOOKUP(A478,Datos!$A$2:$H$1084,7,FALSE)</f>
        <v>0.00</v>
      </c>
      <c r="G478" t="str">
        <f>VLOOKUP(A478,Datos!$A$2:$H$1084,8,FALSE)</f>
        <v>0.05</v>
      </c>
    </row>
    <row r="479" spans="1:7" x14ac:dyDescent="0.3">
      <c r="A479" s="1">
        <v>58010</v>
      </c>
      <c r="B479" t="str">
        <f>VLOOKUP(A479,Datos!$A$2:$H$1084,3,FALSE)</f>
        <v>53.83</v>
      </c>
      <c r="C479" t="str">
        <f>VLOOKUP(A479,Datos!$A$2:$H$1084,4,FALSE)</f>
        <v>0.00</v>
      </c>
      <c r="D479" t="str">
        <f>VLOOKUP(A479,Datos!$A$2:$H$1084,5,FALSE)</f>
        <v>0.09</v>
      </c>
      <c r="E479" t="str">
        <f>VLOOKUP(A479,Datos!$A$2:$H$1084,6,FALSE)</f>
        <v>3.56</v>
      </c>
      <c r="F479" t="str">
        <f>VLOOKUP(A479,Datos!$A$2:$H$1084,7,FALSE)</f>
        <v>0.00</v>
      </c>
      <c r="G479" t="str">
        <f>VLOOKUP(A479,Datos!$A$2:$H$1084,8,FALSE)</f>
        <v>0.01</v>
      </c>
    </row>
    <row r="480" spans="1:7" x14ac:dyDescent="0.3">
      <c r="A480" s="1">
        <v>156893</v>
      </c>
      <c r="B480" t="str">
        <f>VLOOKUP(A480,Datos!$A$2:$H$1084,3,FALSE)</f>
        <v>70.69</v>
      </c>
      <c r="C480" t="str">
        <f>VLOOKUP(A480,Datos!$A$2:$H$1084,4,FALSE)</f>
        <v>0.00</v>
      </c>
      <c r="D480" t="str">
        <f>VLOOKUP(A480,Datos!$A$2:$H$1084,5,FALSE)</f>
        <v>0.51</v>
      </c>
      <c r="E480" t="str">
        <f>VLOOKUP(A480,Datos!$A$2:$H$1084,6,FALSE)</f>
        <v>9.79</v>
      </c>
      <c r="F480" t="str">
        <f>VLOOKUP(A480,Datos!$A$2:$H$1084,7,FALSE)</f>
        <v>0.00</v>
      </c>
      <c r="G480" t="str">
        <f>VLOOKUP(A480,Datos!$A$2:$H$1084,8,FALSE)</f>
        <v>0.04</v>
      </c>
    </row>
    <row r="481" spans="1:7" x14ac:dyDescent="0.3">
      <c r="A481" s="1">
        <v>488374</v>
      </c>
      <c r="B481" t="str">
        <f>VLOOKUP(A481,Datos!$A$2:$H$1084,3,FALSE)</f>
        <v>50.85</v>
      </c>
      <c r="C481" t="str">
        <f>VLOOKUP(A481,Datos!$A$2:$H$1084,4,FALSE)</f>
        <v>0.00</v>
      </c>
      <c r="D481" t="str">
        <f>VLOOKUP(A481,Datos!$A$2:$H$1084,5,FALSE)</f>
        <v>1.04</v>
      </c>
      <c r="E481" t="str">
        <f>VLOOKUP(A481,Datos!$A$2:$H$1084,6,FALSE)</f>
        <v>12.19</v>
      </c>
      <c r="F481" t="str">
        <f>VLOOKUP(A481,Datos!$A$2:$H$1084,7,FALSE)</f>
        <v>0.00</v>
      </c>
      <c r="G481" t="str">
        <f>VLOOKUP(A481,Datos!$A$2:$H$1084,8,FALSE)</f>
        <v>0.16</v>
      </c>
    </row>
    <row r="482" spans="1:7" x14ac:dyDescent="0.3">
      <c r="A482" s="1">
        <v>72997</v>
      </c>
      <c r="B482" t="str">
        <f>VLOOKUP(A482,Datos!$A$2:$H$1084,3,FALSE)</f>
        <v>0</v>
      </c>
      <c r="C482" t="str">
        <f>VLOOKUP(A482,Datos!$A$2:$H$1084,4,FALSE)</f>
        <v>0</v>
      </c>
      <c r="D482" t="str">
        <f>VLOOKUP(A482,Datos!$A$2:$H$1084,5,FALSE)</f>
        <v>0</v>
      </c>
      <c r="E482" t="str">
        <f>VLOOKUP(A482,Datos!$A$2:$H$1084,6,FALSE)</f>
        <v>0</v>
      </c>
      <c r="F482" t="str">
        <f>VLOOKUP(A482,Datos!$A$2:$H$1084,7,FALSE)</f>
        <v>0</v>
      </c>
      <c r="G482" t="str">
        <f>VLOOKUP(A482,Datos!$A$2:$H$1084,8,FALSE)</f>
        <v>0</v>
      </c>
    </row>
    <row r="483" spans="1:7" x14ac:dyDescent="0.3">
      <c r="A483" s="1">
        <v>88234</v>
      </c>
      <c r="B483" t="str">
        <f>VLOOKUP(A483,Datos!$A$2:$H$1084,3,FALSE)</f>
        <v>95.46</v>
      </c>
      <c r="C483" t="str">
        <f>VLOOKUP(A483,Datos!$A$2:$H$1084,4,FALSE)</f>
        <v>0.00</v>
      </c>
      <c r="D483" t="str">
        <f>VLOOKUP(A483,Datos!$A$2:$H$1084,5,FALSE)</f>
        <v>1.21</v>
      </c>
      <c r="E483" t="str">
        <f>VLOOKUP(A483,Datos!$A$2:$H$1084,6,FALSE)</f>
        <v>19.68</v>
      </c>
      <c r="F483" t="str">
        <f>VLOOKUP(A483,Datos!$A$2:$H$1084,7,FALSE)</f>
        <v>0.00</v>
      </c>
      <c r="G483" t="str">
        <f>VLOOKUP(A483,Datos!$A$2:$H$1084,8,FALSE)</f>
        <v>0.20</v>
      </c>
    </row>
    <row r="484" spans="1:7" x14ac:dyDescent="0.3">
      <c r="A484" s="1">
        <v>72935</v>
      </c>
      <c r="B484" t="str">
        <f>VLOOKUP(A484,Datos!$A$2:$H$1084,3,FALSE)</f>
        <v>1.64</v>
      </c>
      <c r="C484" t="str">
        <f>VLOOKUP(A484,Datos!$A$2:$H$1084,4,FALSE)</f>
        <v>0.01</v>
      </c>
      <c r="D484" t="str">
        <f>VLOOKUP(A484,Datos!$A$2:$H$1084,5,FALSE)</f>
        <v>0.01</v>
      </c>
      <c r="E484" t="str">
        <f>VLOOKUP(A484,Datos!$A$2:$H$1084,6,FALSE)</f>
        <v>0.32</v>
      </c>
      <c r="F484" t="str">
        <f>VLOOKUP(A484,Datos!$A$2:$H$1084,7,FALSE)</f>
        <v>0.01</v>
      </c>
      <c r="G484" t="str">
        <f>VLOOKUP(A484,Datos!$A$2:$H$1084,8,FALSE)</f>
        <v>0.01</v>
      </c>
    </row>
    <row r="485" spans="1:7" x14ac:dyDescent="0.3">
      <c r="A485" s="1">
        <v>62451</v>
      </c>
      <c r="B485" t="str">
        <f>VLOOKUP(A485,Datos!$A$2:$H$1084,3,FALSE)</f>
        <v>0.01</v>
      </c>
      <c r="C485" t="str">
        <f>VLOOKUP(A485,Datos!$A$2:$H$1084,4,FALSE)</f>
        <v>0.00</v>
      </c>
      <c r="D485" t="str">
        <f>VLOOKUP(A485,Datos!$A$2:$H$1084,5,FALSE)</f>
        <v>0.00</v>
      </c>
      <c r="E485" t="str">
        <f>VLOOKUP(A485,Datos!$A$2:$H$1084,6,FALSE)</f>
        <v>0.02</v>
      </c>
      <c r="F485" t="str">
        <f>VLOOKUP(A485,Datos!$A$2:$H$1084,7,FALSE)</f>
        <v>0.00</v>
      </c>
      <c r="G485" t="str">
        <f>VLOOKUP(A485,Datos!$A$2:$H$1084,8,FALSE)</f>
        <v>0.00</v>
      </c>
    </row>
    <row r="486" spans="1:7" x14ac:dyDescent="0.3">
      <c r="A486" s="1">
        <v>148450</v>
      </c>
      <c r="B486" t="str">
        <f>VLOOKUP(A486,Datos!$A$2:$H$1084,3,FALSE)</f>
        <v>83.96</v>
      </c>
      <c r="C486" t="str">
        <f>VLOOKUP(A486,Datos!$A$2:$H$1084,4,FALSE)</f>
        <v>0.00</v>
      </c>
      <c r="D486" t="str">
        <f>VLOOKUP(A486,Datos!$A$2:$H$1084,5,FALSE)</f>
        <v>0.13</v>
      </c>
      <c r="E486" t="str">
        <f>VLOOKUP(A486,Datos!$A$2:$H$1084,6,FALSE)</f>
        <v>3.18</v>
      </c>
      <c r="F486" t="str">
        <f>VLOOKUP(A486,Datos!$A$2:$H$1084,7,FALSE)</f>
        <v>0.00</v>
      </c>
      <c r="G486" t="str">
        <f>VLOOKUP(A486,Datos!$A$2:$H$1084,8,FALSE)</f>
        <v>0.01</v>
      </c>
    </row>
    <row r="487" spans="1:7" x14ac:dyDescent="0.3">
      <c r="A487" s="1">
        <v>61852</v>
      </c>
      <c r="B487" t="str">
        <f>VLOOKUP(A487,Datos!$A$2:$H$1084,3,FALSE)</f>
        <v>59.34</v>
      </c>
      <c r="C487" t="str">
        <f>VLOOKUP(A487,Datos!$A$2:$H$1084,4,FALSE)</f>
        <v>0.00</v>
      </c>
      <c r="D487" t="str">
        <f>VLOOKUP(A487,Datos!$A$2:$H$1084,5,FALSE)</f>
        <v>0.37</v>
      </c>
      <c r="E487" t="str">
        <f>VLOOKUP(A487,Datos!$A$2:$H$1084,6,FALSE)</f>
        <v>9.37</v>
      </c>
      <c r="F487" t="str">
        <f>VLOOKUP(A487,Datos!$A$2:$H$1084,7,FALSE)</f>
        <v>0.00</v>
      </c>
      <c r="G487" t="str">
        <f>VLOOKUP(A487,Datos!$A$2:$H$1084,8,FALSE)</f>
        <v>0.02</v>
      </c>
    </row>
    <row r="488" spans="1:7" x14ac:dyDescent="0.3">
      <c r="A488" s="1">
        <v>467786</v>
      </c>
      <c r="B488" t="str">
        <f>VLOOKUP(A488,Datos!$A$2:$H$1084,3,FALSE)</f>
        <v>50.73</v>
      </c>
      <c r="C488" t="str">
        <f>VLOOKUP(A488,Datos!$A$2:$H$1084,4,FALSE)</f>
        <v>0.00</v>
      </c>
      <c r="D488" t="str">
        <f>VLOOKUP(A488,Datos!$A$2:$H$1084,5,FALSE)</f>
        <v>0.33</v>
      </c>
      <c r="E488" t="str">
        <f>VLOOKUP(A488,Datos!$A$2:$H$1084,6,FALSE)</f>
        <v>10.72</v>
      </c>
      <c r="F488" t="str">
        <f>VLOOKUP(A488,Datos!$A$2:$H$1084,7,FALSE)</f>
        <v>0.00</v>
      </c>
      <c r="G488" t="str">
        <f>VLOOKUP(A488,Datos!$A$2:$H$1084,8,FALSE)</f>
        <v>0.04</v>
      </c>
    </row>
    <row r="489" spans="1:7" x14ac:dyDescent="0.3">
      <c r="A489" s="1">
        <v>441678</v>
      </c>
      <c r="B489" t="str">
        <f>VLOOKUP(A489,Datos!$A$2:$H$1084,3,FALSE)</f>
        <v>34.09</v>
      </c>
      <c r="C489" t="str">
        <f>VLOOKUP(A489,Datos!$A$2:$H$1084,4,FALSE)</f>
        <v>0.00</v>
      </c>
      <c r="D489" t="str">
        <f>VLOOKUP(A489,Datos!$A$2:$H$1084,5,FALSE)</f>
        <v>0.08</v>
      </c>
      <c r="E489" t="str">
        <f>VLOOKUP(A489,Datos!$A$2:$H$1084,6,FALSE)</f>
        <v>1.56</v>
      </c>
      <c r="F489" t="str">
        <f>VLOOKUP(A489,Datos!$A$2:$H$1084,7,FALSE)</f>
        <v>0.00</v>
      </c>
      <c r="G489" t="str">
        <f>VLOOKUP(A489,Datos!$A$2:$H$1084,8,FALSE)</f>
        <v>0.01</v>
      </c>
    </row>
    <row r="490" spans="1:7" x14ac:dyDescent="0.3">
      <c r="A490" s="1">
        <v>454289</v>
      </c>
      <c r="B490" t="str">
        <f>VLOOKUP(A490,Datos!$A$2:$H$1084,3,FALSE)</f>
        <v>22.38</v>
      </c>
      <c r="C490" t="str">
        <f>VLOOKUP(A490,Datos!$A$2:$H$1084,4,FALSE)</f>
        <v>0.00</v>
      </c>
      <c r="D490" t="str">
        <f>VLOOKUP(A490,Datos!$A$2:$H$1084,5,FALSE)</f>
        <v>0.04</v>
      </c>
      <c r="E490" t="str">
        <f>VLOOKUP(A490,Datos!$A$2:$H$1084,6,FALSE)</f>
        <v>0.95</v>
      </c>
      <c r="F490" t="str">
        <f>VLOOKUP(A490,Datos!$A$2:$H$1084,7,FALSE)</f>
        <v>0.00</v>
      </c>
      <c r="G490" t="str">
        <f>VLOOKUP(A490,Datos!$A$2:$H$1084,8,FALSE)</f>
        <v>0.01</v>
      </c>
    </row>
    <row r="491" spans="1:7" x14ac:dyDescent="0.3">
      <c r="A491" s="1">
        <v>42566</v>
      </c>
      <c r="B491" t="str">
        <f>VLOOKUP(A491,Datos!$A$2:$H$1084,3,FALSE)</f>
        <v>50.87</v>
      </c>
      <c r="C491" t="str">
        <f>VLOOKUP(A491,Datos!$A$2:$H$1084,4,FALSE)</f>
        <v>0.00</v>
      </c>
      <c r="D491" t="str">
        <f>VLOOKUP(A491,Datos!$A$2:$H$1084,5,FALSE)</f>
        <v>0.16</v>
      </c>
      <c r="E491" t="str">
        <f>VLOOKUP(A491,Datos!$A$2:$H$1084,6,FALSE)</f>
        <v>11.27</v>
      </c>
      <c r="F491" t="str">
        <f>VLOOKUP(A491,Datos!$A$2:$H$1084,7,FALSE)</f>
        <v>0.00</v>
      </c>
      <c r="G491" t="str">
        <f>VLOOKUP(A491,Datos!$A$2:$H$1084,8,FALSE)</f>
        <v>0.02</v>
      </c>
    </row>
    <row r="492" spans="1:7" x14ac:dyDescent="0.3">
      <c r="A492" s="1">
        <v>85990</v>
      </c>
      <c r="B492" t="str">
        <f>VLOOKUP(A492,Datos!$A$2:$H$1084,3,FALSE)</f>
        <v>40.23</v>
      </c>
      <c r="C492" t="str">
        <f>VLOOKUP(A492,Datos!$A$2:$H$1084,4,FALSE)</f>
        <v>0.00</v>
      </c>
      <c r="D492" t="str">
        <f>VLOOKUP(A492,Datos!$A$2:$H$1084,5,FALSE)</f>
        <v>0.07</v>
      </c>
      <c r="E492" t="str">
        <f>VLOOKUP(A492,Datos!$A$2:$H$1084,6,FALSE)</f>
        <v>16.65</v>
      </c>
      <c r="F492" t="str">
        <f>VLOOKUP(A492,Datos!$A$2:$H$1084,7,FALSE)</f>
        <v>0.00</v>
      </c>
      <c r="G492" t="str">
        <f>VLOOKUP(A492,Datos!$A$2:$H$1084,8,FALSE)</f>
        <v>0.01</v>
      </c>
    </row>
    <row r="493" spans="1:7" x14ac:dyDescent="0.3">
      <c r="A493" s="1">
        <v>61890</v>
      </c>
      <c r="B493" t="str">
        <f>VLOOKUP(A493,Datos!$A$2:$H$1084,3,FALSE)</f>
        <v>60.73</v>
      </c>
      <c r="C493" t="str">
        <f>VLOOKUP(A493,Datos!$A$2:$H$1084,4,FALSE)</f>
        <v>0.00</v>
      </c>
      <c r="D493" t="str">
        <f>VLOOKUP(A493,Datos!$A$2:$H$1084,5,FALSE)</f>
        <v>0.76</v>
      </c>
      <c r="E493" t="str">
        <f>VLOOKUP(A493,Datos!$A$2:$H$1084,6,FALSE)</f>
        <v>29.48</v>
      </c>
      <c r="F493" t="str">
        <f>VLOOKUP(A493,Datos!$A$2:$H$1084,7,FALSE)</f>
        <v>0.00</v>
      </c>
      <c r="G493" t="str">
        <f>VLOOKUP(A493,Datos!$A$2:$H$1084,8,FALSE)</f>
        <v>0.10</v>
      </c>
    </row>
    <row r="494" spans="1:7" x14ac:dyDescent="0.3">
      <c r="A494" s="1">
        <v>465264</v>
      </c>
      <c r="B494" t="str">
        <f>VLOOKUP(A494,Datos!$A$2:$H$1084,3,FALSE)</f>
        <v>30.07</v>
      </c>
      <c r="C494" t="str">
        <f>VLOOKUP(A494,Datos!$A$2:$H$1084,4,FALSE)</f>
        <v>0.00</v>
      </c>
      <c r="D494" t="str">
        <f>VLOOKUP(A494,Datos!$A$2:$H$1084,5,FALSE)</f>
        <v>0.02</v>
      </c>
      <c r="E494" t="str">
        <f>VLOOKUP(A494,Datos!$A$2:$H$1084,6,FALSE)</f>
        <v>8.04</v>
      </c>
      <c r="F494" t="str">
        <f>VLOOKUP(A494,Datos!$A$2:$H$1084,7,FALSE)</f>
        <v>0.00</v>
      </c>
      <c r="G494" t="str">
        <f>VLOOKUP(A494,Datos!$A$2:$H$1084,8,FALSE)</f>
        <v>0.01</v>
      </c>
    </row>
    <row r="495" spans="1:7" x14ac:dyDescent="0.3">
      <c r="A495" s="1">
        <v>440990</v>
      </c>
      <c r="B495" t="str">
        <f>VLOOKUP(A495,Datos!$A$2:$H$1084,3,FALSE)</f>
        <v>24.96</v>
      </c>
      <c r="C495" t="str">
        <f>VLOOKUP(A495,Datos!$A$2:$H$1084,4,FALSE)</f>
        <v>0.00</v>
      </c>
      <c r="D495" t="str">
        <f>VLOOKUP(A495,Datos!$A$2:$H$1084,5,FALSE)</f>
        <v>0.01</v>
      </c>
      <c r="E495" t="str">
        <f>VLOOKUP(A495,Datos!$A$2:$H$1084,6,FALSE)</f>
        <v>1.18</v>
      </c>
      <c r="F495" t="str">
        <f>VLOOKUP(A495,Datos!$A$2:$H$1084,7,FALSE)</f>
        <v>0.00</v>
      </c>
      <c r="G495" t="str">
        <f>VLOOKUP(A495,Datos!$A$2:$H$1084,8,FALSE)</f>
        <v>0.00</v>
      </c>
    </row>
    <row r="496" spans="1:7" x14ac:dyDescent="0.3">
      <c r="A496" s="1">
        <v>447821</v>
      </c>
      <c r="B496" t="str">
        <f>VLOOKUP(A496,Datos!$A$2:$H$1084,3,FALSE)</f>
        <v>52.84</v>
      </c>
      <c r="C496" t="str">
        <f>VLOOKUP(A496,Datos!$A$2:$H$1084,4,FALSE)</f>
        <v>0.00</v>
      </c>
      <c r="D496" t="str">
        <f>VLOOKUP(A496,Datos!$A$2:$H$1084,5,FALSE)</f>
        <v>2.05</v>
      </c>
      <c r="E496" t="str">
        <f>VLOOKUP(A496,Datos!$A$2:$H$1084,6,FALSE)</f>
        <v>2.93</v>
      </c>
      <c r="F496" t="str">
        <f>VLOOKUP(A496,Datos!$A$2:$H$1084,7,FALSE)</f>
        <v>0.00</v>
      </c>
      <c r="G496" t="str">
        <f>VLOOKUP(A496,Datos!$A$2:$H$1084,8,FALSE)</f>
        <v>0.01</v>
      </c>
    </row>
    <row r="497" spans="1:7" x14ac:dyDescent="0.3">
      <c r="A497" s="1">
        <v>396845</v>
      </c>
      <c r="B497" t="str">
        <f>VLOOKUP(A497,Datos!$A$2:$H$1084,3,FALSE)</f>
        <v>143.39</v>
      </c>
      <c r="C497" t="str">
        <f>VLOOKUP(A497,Datos!$A$2:$H$1084,4,FALSE)</f>
        <v>0.00</v>
      </c>
      <c r="D497" t="str">
        <f>VLOOKUP(A497,Datos!$A$2:$H$1084,5,FALSE)</f>
        <v>0.52</v>
      </c>
      <c r="E497" t="str">
        <f>VLOOKUP(A497,Datos!$A$2:$H$1084,6,FALSE)</f>
        <v>13.34</v>
      </c>
      <c r="F497" t="str">
        <f>VLOOKUP(A497,Datos!$A$2:$H$1084,7,FALSE)</f>
        <v>0.00</v>
      </c>
      <c r="G497" t="str">
        <f>VLOOKUP(A497,Datos!$A$2:$H$1084,8,FALSE)</f>
        <v>0.04</v>
      </c>
    </row>
    <row r="498" spans="1:7" x14ac:dyDescent="0.3">
      <c r="A498" s="1">
        <v>78372</v>
      </c>
      <c r="B498" t="str">
        <f>VLOOKUP(A498,Datos!$A$2:$H$1084,3,FALSE)</f>
        <v>9.56</v>
      </c>
      <c r="C498" t="str">
        <f>VLOOKUP(A498,Datos!$A$2:$H$1084,4,FALSE)</f>
        <v>0.00</v>
      </c>
      <c r="D498" t="str">
        <f>VLOOKUP(A498,Datos!$A$2:$H$1084,5,FALSE)</f>
        <v>0.07</v>
      </c>
      <c r="E498" t="str">
        <f>VLOOKUP(A498,Datos!$A$2:$H$1084,6,FALSE)</f>
        <v>2.98</v>
      </c>
      <c r="F498" t="str">
        <f>VLOOKUP(A498,Datos!$A$2:$H$1084,7,FALSE)</f>
        <v>0.00</v>
      </c>
      <c r="G498" t="str">
        <f>VLOOKUP(A498,Datos!$A$2:$H$1084,8,FALSE)</f>
        <v>0.00</v>
      </c>
    </row>
    <row r="499" spans="1:7" x14ac:dyDescent="0.3">
      <c r="A499" s="1">
        <v>79362</v>
      </c>
      <c r="B499" t="str">
        <f>VLOOKUP(A499,Datos!$A$2:$H$1084,3,FALSE)</f>
        <v>97.59</v>
      </c>
      <c r="C499" t="str">
        <f>VLOOKUP(A499,Datos!$A$2:$H$1084,4,FALSE)</f>
        <v>0.00</v>
      </c>
      <c r="D499" t="str">
        <f>VLOOKUP(A499,Datos!$A$2:$H$1084,5,FALSE)</f>
        <v>1.11</v>
      </c>
      <c r="E499" t="str">
        <f>VLOOKUP(A499,Datos!$A$2:$H$1084,6,FALSE)</f>
        <v>26.92</v>
      </c>
      <c r="F499" t="str">
        <f>VLOOKUP(A499,Datos!$A$2:$H$1084,7,FALSE)</f>
        <v>0.00</v>
      </c>
      <c r="G499" t="str">
        <f>VLOOKUP(A499,Datos!$A$2:$H$1084,8,FALSE)</f>
        <v>0.08</v>
      </c>
    </row>
    <row r="500" spans="1:7" x14ac:dyDescent="0.3">
      <c r="A500" s="1">
        <v>447722</v>
      </c>
      <c r="B500" t="str">
        <f>VLOOKUP(A500,Datos!$A$2:$H$1084,3,FALSE)</f>
        <v>41.70</v>
      </c>
      <c r="C500" t="str">
        <f>VLOOKUP(A500,Datos!$A$2:$H$1084,4,FALSE)</f>
        <v>0.00</v>
      </c>
      <c r="D500" t="str">
        <f>VLOOKUP(A500,Datos!$A$2:$H$1084,5,FALSE)</f>
        <v>0.17</v>
      </c>
      <c r="E500" t="str">
        <f>VLOOKUP(A500,Datos!$A$2:$H$1084,6,FALSE)</f>
        <v>18.22</v>
      </c>
      <c r="F500" t="str">
        <f>VLOOKUP(A500,Datos!$A$2:$H$1084,7,FALSE)</f>
        <v>0.01</v>
      </c>
      <c r="G500" t="str">
        <f>VLOOKUP(A500,Datos!$A$2:$H$1084,8,FALSE)</f>
        <v>0.02</v>
      </c>
    </row>
    <row r="501" spans="1:7" x14ac:dyDescent="0.3">
      <c r="A501" s="1">
        <v>61932</v>
      </c>
      <c r="B501" t="str">
        <f>VLOOKUP(A501,Datos!$A$2:$H$1084,3,FALSE)</f>
        <v>29.93</v>
      </c>
      <c r="C501" t="str">
        <f>VLOOKUP(A501,Datos!$A$2:$H$1084,4,FALSE)</f>
        <v>0.00</v>
      </c>
      <c r="D501" t="str">
        <f>VLOOKUP(A501,Datos!$A$2:$H$1084,5,FALSE)</f>
        <v>0.03</v>
      </c>
      <c r="E501" t="str">
        <f>VLOOKUP(A501,Datos!$A$2:$H$1084,6,FALSE)</f>
        <v>1.12</v>
      </c>
      <c r="F501" t="str">
        <f>VLOOKUP(A501,Datos!$A$2:$H$1084,7,FALSE)</f>
        <v>0.00</v>
      </c>
      <c r="G501" t="str">
        <f>VLOOKUP(A501,Datos!$A$2:$H$1084,8,FALSE)</f>
        <v>0.00</v>
      </c>
    </row>
    <row r="502" spans="1:7" x14ac:dyDescent="0.3">
      <c r="A502" s="1">
        <v>156096</v>
      </c>
      <c r="B502" t="str">
        <f>VLOOKUP(A502,Datos!$A$2:$H$1084,3,FALSE)</f>
        <v>80.00</v>
      </c>
      <c r="C502" t="str">
        <f>VLOOKUP(A502,Datos!$A$2:$H$1084,4,FALSE)</f>
        <v>0.00</v>
      </c>
      <c r="D502" t="str">
        <f>VLOOKUP(A502,Datos!$A$2:$H$1084,5,FALSE)</f>
        <v>0.55</v>
      </c>
      <c r="E502" t="str">
        <f>VLOOKUP(A502,Datos!$A$2:$H$1084,6,FALSE)</f>
        <v>24.51</v>
      </c>
      <c r="F502" t="str">
        <f>VLOOKUP(A502,Datos!$A$2:$H$1084,7,FALSE)</f>
        <v>0.00</v>
      </c>
      <c r="G502" t="str">
        <f>VLOOKUP(A502,Datos!$A$2:$H$1084,8,FALSE)</f>
        <v>0.08</v>
      </c>
    </row>
    <row r="503" spans="1:7" x14ac:dyDescent="0.3">
      <c r="A503" s="1">
        <v>61814</v>
      </c>
      <c r="B503" t="str">
        <f>VLOOKUP(A503,Datos!$A$2:$H$1084,3,FALSE)</f>
        <v>26.09</v>
      </c>
      <c r="C503" t="str">
        <f>VLOOKUP(A503,Datos!$A$2:$H$1084,4,FALSE)</f>
        <v>0.00</v>
      </c>
      <c r="D503" t="str">
        <f>VLOOKUP(A503,Datos!$A$2:$H$1084,5,FALSE)</f>
        <v>0.19</v>
      </c>
      <c r="E503" t="str">
        <f>VLOOKUP(A503,Datos!$A$2:$H$1084,6,FALSE)</f>
        <v>31.79</v>
      </c>
      <c r="F503" t="str">
        <f>VLOOKUP(A503,Datos!$A$2:$H$1084,7,FALSE)</f>
        <v>0.00</v>
      </c>
      <c r="G503" t="str">
        <f>VLOOKUP(A503,Datos!$A$2:$H$1084,8,FALSE)</f>
        <v>0.05</v>
      </c>
    </row>
    <row r="504" spans="1:7" x14ac:dyDescent="0.3">
      <c r="A504" s="1">
        <v>49676</v>
      </c>
      <c r="B504" t="str">
        <f>VLOOKUP(A504,Datos!$A$2:$H$1084,3,FALSE)</f>
        <v>58.60</v>
      </c>
      <c r="C504" t="str">
        <f>VLOOKUP(A504,Datos!$A$2:$H$1084,4,FALSE)</f>
        <v>0.00</v>
      </c>
      <c r="D504" t="str">
        <f>VLOOKUP(A504,Datos!$A$2:$H$1084,5,FALSE)</f>
        <v>0.35</v>
      </c>
      <c r="E504" t="str">
        <f>VLOOKUP(A504,Datos!$A$2:$H$1084,6,FALSE)</f>
        <v>25.84</v>
      </c>
      <c r="F504" t="str">
        <f>VLOOKUP(A504,Datos!$A$2:$H$1084,7,FALSE)</f>
        <v>0.00</v>
      </c>
      <c r="G504" t="str">
        <f>VLOOKUP(A504,Datos!$A$2:$H$1084,8,FALSE)</f>
        <v>0.03</v>
      </c>
    </row>
    <row r="505" spans="1:7" x14ac:dyDescent="0.3">
      <c r="A505" s="1">
        <v>758610</v>
      </c>
      <c r="B505" t="str">
        <f>VLOOKUP(A505,Datos!$A$2:$H$1084,3,FALSE)</f>
        <v>93.35</v>
      </c>
      <c r="C505" t="str">
        <f>VLOOKUP(A505,Datos!$A$2:$H$1084,4,FALSE)</f>
        <v>0.00</v>
      </c>
      <c r="D505" t="str">
        <f>VLOOKUP(A505,Datos!$A$2:$H$1084,5,FALSE)</f>
        <v>1.06</v>
      </c>
      <c r="E505" t="str">
        <f>VLOOKUP(A505,Datos!$A$2:$H$1084,6,FALSE)</f>
        <v>12.78</v>
      </c>
      <c r="F505" t="str">
        <f>VLOOKUP(A505,Datos!$A$2:$H$1084,7,FALSE)</f>
        <v>0.00</v>
      </c>
      <c r="G505" t="str">
        <f>VLOOKUP(A505,Datos!$A$2:$H$1084,8,FALSE)</f>
        <v>0.10</v>
      </c>
    </row>
    <row r="506" spans="1:7" x14ac:dyDescent="0.3">
      <c r="A506" s="1">
        <v>463731</v>
      </c>
      <c r="B506" t="str">
        <f>VLOOKUP(A506,Datos!$A$2:$H$1084,3,FALSE)</f>
        <v>58.28</v>
      </c>
      <c r="C506" t="str">
        <f>VLOOKUP(A506,Datos!$A$2:$H$1084,4,FALSE)</f>
        <v>0.00</v>
      </c>
      <c r="D506" t="str">
        <f>VLOOKUP(A506,Datos!$A$2:$H$1084,5,FALSE)</f>
        <v>0.32</v>
      </c>
      <c r="E506" t="str">
        <f>VLOOKUP(A506,Datos!$A$2:$H$1084,6,FALSE)</f>
        <v>20.78</v>
      </c>
      <c r="F506" t="str">
        <f>VLOOKUP(A506,Datos!$A$2:$H$1084,7,FALSE)</f>
        <v>0.00</v>
      </c>
      <c r="G506" t="str">
        <f>VLOOKUP(A506,Datos!$A$2:$H$1084,8,FALSE)</f>
        <v>0.05</v>
      </c>
    </row>
    <row r="507" spans="1:7" x14ac:dyDescent="0.3">
      <c r="A507" s="1">
        <v>59401</v>
      </c>
      <c r="B507" t="str">
        <f>VLOOKUP(A507,Datos!$A$2:$H$1084,3,FALSE)</f>
        <v>19.47</v>
      </c>
      <c r="C507" t="str">
        <f>VLOOKUP(A507,Datos!$A$2:$H$1084,4,FALSE)</f>
        <v>0.00</v>
      </c>
      <c r="D507" t="str">
        <f>VLOOKUP(A507,Datos!$A$2:$H$1084,5,FALSE)</f>
        <v>0.04</v>
      </c>
      <c r="E507" t="str">
        <f>VLOOKUP(A507,Datos!$A$2:$H$1084,6,FALSE)</f>
        <v>3.77</v>
      </c>
      <c r="F507" t="str">
        <f>VLOOKUP(A507,Datos!$A$2:$H$1084,7,FALSE)</f>
        <v>0.00</v>
      </c>
      <c r="G507" t="str">
        <f>VLOOKUP(A507,Datos!$A$2:$H$1084,8,FALSE)</f>
        <v>0.01</v>
      </c>
    </row>
    <row r="508" spans="1:7" x14ac:dyDescent="0.3">
      <c r="A508" s="1">
        <v>72332</v>
      </c>
      <c r="B508" t="str">
        <f>VLOOKUP(A508,Datos!$A$2:$H$1084,3,FALSE)</f>
        <v>39.88</v>
      </c>
      <c r="C508" t="str">
        <f>VLOOKUP(A508,Datos!$A$2:$H$1084,4,FALSE)</f>
        <v>0.00</v>
      </c>
      <c r="D508" t="str">
        <f>VLOOKUP(A508,Datos!$A$2:$H$1084,5,FALSE)</f>
        <v>0.20</v>
      </c>
      <c r="E508" t="str">
        <f>VLOOKUP(A508,Datos!$A$2:$H$1084,6,FALSE)</f>
        <v>4.08</v>
      </c>
      <c r="F508" t="str">
        <f>VLOOKUP(A508,Datos!$A$2:$H$1084,7,FALSE)</f>
        <v>0.00</v>
      </c>
      <c r="G508" t="str">
        <f>VLOOKUP(A508,Datos!$A$2:$H$1084,8,FALSE)</f>
        <v>0.02</v>
      </c>
    </row>
    <row r="509" spans="1:7" x14ac:dyDescent="0.3">
      <c r="A509" s="1">
        <v>583743</v>
      </c>
      <c r="B509" t="str">
        <f>VLOOKUP(A509,Datos!$A$2:$H$1084,3,FALSE)</f>
        <v>90.85</v>
      </c>
      <c r="C509" t="str">
        <f>VLOOKUP(A509,Datos!$A$2:$H$1084,4,FALSE)</f>
        <v>0.00</v>
      </c>
      <c r="D509" t="str">
        <f>VLOOKUP(A509,Datos!$A$2:$H$1084,5,FALSE)</f>
        <v>3.00</v>
      </c>
      <c r="E509" t="str">
        <f>VLOOKUP(A509,Datos!$A$2:$H$1084,6,FALSE)</f>
        <v>33.81</v>
      </c>
      <c r="F509" t="str">
        <f>VLOOKUP(A509,Datos!$A$2:$H$1084,7,FALSE)</f>
        <v>0.00</v>
      </c>
      <c r="G509" t="str">
        <f>VLOOKUP(A509,Datos!$A$2:$H$1084,8,FALSE)</f>
        <v>0.35</v>
      </c>
    </row>
    <row r="510" spans="1:7" x14ac:dyDescent="0.3">
      <c r="A510" s="1">
        <v>44909</v>
      </c>
      <c r="B510" t="str">
        <f>VLOOKUP(A510,Datos!$A$2:$H$1084,3,FALSE)</f>
        <v>14.87</v>
      </c>
      <c r="C510" t="str">
        <f>VLOOKUP(A510,Datos!$A$2:$H$1084,4,FALSE)</f>
        <v>0.01</v>
      </c>
      <c r="D510" t="str">
        <f>VLOOKUP(A510,Datos!$A$2:$H$1084,5,FALSE)</f>
        <v>0.01</v>
      </c>
      <c r="E510" t="str">
        <f>VLOOKUP(A510,Datos!$A$2:$H$1084,6,FALSE)</f>
        <v>0.54</v>
      </c>
      <c r="F510" t="str">
        <f>VLOOKUP(A510,Datos!$A$2:$H$1084,7,FALSE)</f>
        <v>0.01</v>
      </c>
      <c r="G510" t="str">
        <f>VLOOKUP(A510,Datos!$A$2:$H$1084,8,FALSE)</f>
        <v>0.01</v>
      </c>
    </row>
    <row r="511" spans="1:7" x14ac:dyDescent="0.3">
      <c r="A511" s="1">
        <v>786707</v>
      </c>
      <c r="B511" t="str">
        <f>VLOOKUP(A511,Datos!$A$2:$H$1084,3,FALSE)</f>
        <v>80.95</v>
      </c>
      <c r="C511" t="str">
        <f>VLOOKUP(A511,Datos!$A$2:$H$1084,4,FALSE)</f>
        <v>0.01</v>
      </c>
      <c r="D511" t="str">
        <f>VLOOKUP(A511,Datos!$A$2:$H$1084,5,FALSE)</f>
        <v>0.61</v>
      </c>
      <c r="E511" t="str">
        <f>VLOOKUP(A511,Datos!$A$2:$H$1084,6,FALSE)</f>
        <v>37.42</v>
      </c>
      <c r="F511" t="str">
        <f>VLOOKUP(A511,Datos!$A$2:$H$1084,7,FALSE)</f>
        <v>0.01</v>
      </c>
      <c r="G511" t="str">
        <f>VLOOKUP(A511,Datos!$A$2:$H$1084,8,FALSE)</f>
        <v>0.08</v>
      </c>
    </row>
    <row r="512" spans="1:7" x14ac:dyDescent="0.3">
      <c r="A512" s="1">
        <v>441541</v>
      </c>
      <c r="B512" t="str">
        <f>VLOOKUP(A512,Datos!$A$2:$H$1084,3,FALSE)</f>
        <v>50.14</v>
      </c>
      <c r="C512" t="str">
        <f>VLOOKUP(A512,Datos!$A$2:$H$1084,4,FALSE)</f>
        <v>0.00</v>
      </c>
      <c r="D512" t="str">
        <f>VLOOKUP(A512,Datos!$A$2:$H$1084,5,FALSE)</f>
        <v>0.06</v>
      </c>
      <c r="E512" t="str">
        <f>VLOOKUP(A512,Datos!$A$2:$H$1084,6,FALSE)</f>
        <v>15.02</v>
      </c>
      <c r="F512" t="str">
        <f>VLOOKUP(A512,Datos!$A$2:$H$1084,7,FALSE)</f>
        <v>0.00</v>
      </c>
      <c r="G512" t="str">
        <f>VLOOKUP(A512,Datos!$A$2:$H$1084,8,FALSE)</f>
        <v>0.02</v>
      </c>
    </row>
    <row r="513" spans="1:7" x14ac:dyDescent="0.3">
      <c r="A513" s="1">
        <v>545478</v>
      </c>
      <c r="B513" t="str">
        <f>VLOOKUP(A513,Datos!$A$2:$H$1084,3,FALSE)</f>
        <v>91.12</v>
      </c>
      <c r="C513" t="str">
        <f>VLOOKUP(A513,Datos!$A$2:$H$1084,4,FALSE)</f>
        <v>0.00</v>
      </c>
      <c r="D513" t="str">
        <f>VLOOKUP(A513,Datos!$A$2:$H$1084,5,FALSE)</f>
        <v>1.03</v>
      </c>
      <c r="E513" t="str">
        <f>VLOOKUP(A513,Datos!$A$2:$H$1084,6,FALSE)</f>
        <v>24.19</v>
      </c>
      <c r="F513" t="str">
        <f>VLOOKUP(A513,Datos!$A$2:$H$1084,7,FALSE)</f>
        <v>0.00</v>
      </c>
      <c r="G513" t="str">
        <f>VLOOKUP(A513,Datos!$A$2:$H$1084,8,FALSE)</f>
        <v>0.16</v>
      </c>
    </row>
    <row r="514" spans="1:7" x14ac:dyDescent="0.3">
      <c r="A514" s="1">
        <v>168297</v>
      </c>
      <c r="B514" t="str">
        <f>VLOOKUP(A514,Datos!$A$2:$H$1084,3,FALSE)</f>
        <v>30.67</v>
      </c>
      <c r="C514" t="str">
        <f>VLOOKUP(A514,Datos!$A$2:$H$1084,4,FALSE)</f>
        <v>0.00</v>
      </c>
      <c r="D514" t="str">
        <f>VLOOKUP(A514,Datos!$A$2:$H$1084,5,FALSE)</f>
        <v>0.09</v>
      </c>
      <c r="E514" t="str">
        <f>VLOOKUP(A514,Datos!$A$2:$H$1084,6,FALSE)</f>
        <v>11.87</v>
      </c>
      <c r="F514" t="str">
        <f>VLOOKUP(A514,Datos!$A$2:$H$1084,7,FALSE)</f>
        <v>0.00</v>
      </c>
      <c r="G514" t="str">
        <f>VLOOKUP(A514,Datos!$A$2:$H$1084,8,FALSE)</f>
        <v>0.02</v>
      </c>
    </row>
    <row r="515" spans="1:7" x14ac:dyDescent="0.3">
      <c r="A515" s="1">
        <v>88248</v>
      </c>
      <c r="B515" t="str">
        <f>VLOOKUP(A515,Datos!$A$2:$H$1084,3,FALSE)</f>
        <v>96.63</v>
      </c>
      <c r="C515" t="str">
        <f>VLOOKUP(A515,Datos!$A$2:$H$1084,4,FALSE)</f>
        <v>0.00</v>
      </c>
      <c r="D515" t="str">
        <f>VLOOKUP(A515,Datos!$A$2:$H$1084,5,FALSE)</f>
        <v>4.99</v>
      </c>
      <c r="E515" t="str">
        <f>VLOOKUP(A515,Datos!$A$2:$H$1084,6,FALSE)</f>
        <v>30.36</v>
      </c>
      <c r="F515" t="str">
        <f>VLOOKUP(A515,Datos!$A$2:$H$1084,7,FALSE)</f>
        <v>0.00</v>
      </c>
      <c r="G515" t="str">
        <f>VLOOKUP(A515,Datos!$A$2:$H$1084,8,FALSE)</f>
        <v>0.44</v>
      </c>
    </row>
    <row r="516" spans="1:7" x14ac:dyDescent="0.3">
      <c r="A516" s="1">
        <v>47031</v>
      </c>
      <c r="B516" t="str">
        <f>VLOOKUP(A516,Datos!$A$2:$H$1084,3,FALSE)</f>
        <v>88.41</v>
      </c>
      <c r="C516" t="str">
        <f>VLOOKUP(A516,Datos!$A$2:$H$1084,4,FALSE)</f>
        <v>0.00</v>
      </c>
      <c r="D516" t="str">
        <f>VLOOKUP(A516,Datos!$A$2:$H$1084,5,FALSE)</f>
        <v>0.89</v>
      </c>
      <c r="E516" t="str">
        <f>VLOOKUP(A516,Datos!$A$2:$H$1084,6,FALSE)</f>
        <v>10.79</v>
      </c>
      <c r="F516" t="str">
        <f>VLOOKUP(A516,Datos!$A$2:$H$1084,7,FALSE)</f>
        <v>0.00</v>
      </c>
      <c r="G516" t="str">
        <f>VLOOKUP(A516,Datos!$A$2:$H$1084,8,FALSE)</f>
        <v>0.10</v>
      </c>
    </row>
    <row r="517" spans="1:7" x14ac:dyDescent="0.3">
      <c r="A517" s="1">
        <v>170295</v>
      </c>
      <c r="B517" t="str">
        <f>VLOOKUP(A517,Datos!$A$2:$H$1084,3,FALSE)</f>
        <v>43.58</v>
      </c>
      <c r="C517" t="str">
        <f>VLOOKUP(A517,Datos!$A$2:$H$1084,4,FALSE)</f>
        <v>0.00</v>
      </c>
      <c r="D517" t="str">
        <f>VLOOKUP(A517,Datos!$A$2:$H$1084,5,FALSE)</f>
        <v>0.09</v>
      </c>
      <c r="E517" t="str">
        <f>VLOOKUP(A517,Datos!$A$2:$H$1084,6,FALSE)</f>
        <v>22.16</v>
      </c>
      <c r="F517" t="str">
        <f>VLOOKUP(A517,Datos!$A$2:$H$1084,7,FALSE)</f>
        <v>0.00</v>
      </c>
      <c r="G517" t="str">
        <f>VLOOKUP(A517,Datos!$A$2:$H$1084,8,FALSE)</f>
        <v>0.04</v>
      </c>
    </row>
    <row r="518" spans="1:7" x14ac:dyDescent="0.3">
      <c r="A518" s="1">
        <v>55634</v>
      </c>
      <c r="B518" t="str">
        <f>VLOOKUP(A518,Datos!$A$2:$H$1084,3,FALSE)</f>
        <v>82.24</v>
      </c>
      <c r="C518" t="str">
        <f>VLOOKUP(A518,Datos!$A$2:$H$1084,4,FALSE)</f>
        <v>0.00</v>
      </c>
      <c r="D518" t="str">
        <f>VLOOKUP(A518,Datos!$A$2:$H$1084,5,FALSE)</f>
        <v>0.33</v>
      </c>
      <c r="E518" t="str">
        <f>VLOOKUP(A518,Datos!$A$2:$H$1084,6,FALSE)</f>
        <v>10.08</v>
      </c>
      <c r="F518" t="str">
        <f>VLOOKUP(A518,Datos!$A$2:$H$1084,7,FALSE)</f>
        <v>0.00</v>
      </c>
      <c r="G518" t="str">
        <f>VLOOKUP(A518,Datos!$A$2:$H$1084,8,FALSE)</f>
        <v>0.02</v>
      </c>
    </row>
    <row r="519" spans="1:7" x14ac:dyDescent="0.3">
      <c r="A519" s="1">
        <v>86720</v>
      </c>
      <c r="B519" t="str">
        <f>VLOOKUP(A519,Datos!$A$2:$H$1084,3,FALSE)</f>
        <v>29.01</v>
      </c>
      <c r="C519" t="str">
        <f>VLOOKUP(A519,Datos!$A$2:$H$1084,4,FALSE)</f>
        <v>0.00</v>
      </c>
      <c r="D519" t="str">
        <f>VLOOKUP(A519,Datos!$A$2:$H$1084,5,FALSE)</f>
        <v>0.05</v>
      </c>
      <c r="E519" t="str">
        <f>VLOOKUP(A519,Datos!$A$2:$H$1084,6,FALSE)</f>
        <v>16.35</v>
      </c>
      <c r="F519" t="str">
        <f>VLOOKUP(A519,Datos!$A$2:$H$1084,7,FALSE)</f>
        <v>0.00</v>
      </c>
      <c r="G519" t="str">
        <f>VLOOKUP(A519,Datos!$A$2:$H$1084,8,FALSE)</f>
        <v>0.01</v>
      </c>
    </row>
    <row r="520" spans="1:7" x14ac:dyDescent="0.3">
      <c r="A520" s="1">
        <v>528515</v>
      </c>
      <c r="B520" t="str">
        <f>VLOOKUP(A520,Datos!$A$2:$H$1084,3,FALSE)</f>
        <v>39.99</v>
      </c>
      <c r="C520" t="str">
        <f>VLOOKUP(A520,Datos!$A$2:$H$1084,4,FALSE)</f>
        <v>0.00</v>
      </c>
      <c r="D520" t="str">
        <f>VLOOKUP(A520,Datos!$A$2:$H$1084,5,FALSE)</f>
        <v>0.42</v>
      </c>
      <c r="E520" t="str">
        <f>VLOOKUP(A520,Datos!$A$2:$H$1084,6,FALSE)</f>
        <v>9.49</v>
      </c>
      <c r="F520" t="str">
        <f>VLOOKUP(A520,Datos!$A$2:$H$1084,7,FALSE)</f>
        <v>0.00</v>
      </c>
      <c r="G520" t="str">
        <f>VLOOKUP(A520,Datos!$A$2:$H$1084,8,FALSE)</f>
        <v>0.05</v>
      </c>
    </row>
    <row r="521" spans="1:7" x14ac:dyDescent="0.3">
      <c r="A521" s="1">
        <v>72351</v>
      </c>
      <c r="B521" t="str">
        <f>VLOOKUP(A521,Datos!$A$2:$H$1084,3,FALSE)</f>
        <v>1.04</v>
      </c>
      <c r="C521" t="str">
        <f>VLOOKUP(A521,Datos!$A$2:$H$1084,4,FALSE)</f>
        <v>0.00</v>
      </c>
      <c r="D521" t="str">
        <f>VLOOKUP(A521,Datos!$A$2:$H$1084,5,FALSE)</f>
        <v>0.01</v>
      </c>
      <c r="E521" t="str">
        <f>VLOOKUP(A521,Datos!$A$2:$H$1084,6,FALSE)</f>
        <v>0.29</v>
      </c>
      <c r="F521" t="str">
        <f>VLOOKUP(A521,Datos!$A$2:$H$1084,7,FALSE)</f>
        <v>0.00</v>
      </c>
      <c r="G521" t="str">
        <f>VLOOKUP(A521,Datos!$A$2:$H$1084,8,FALSE)</f>
        <v>0.01</v>
      </c>
    </row>
    <row r="522" spans="1:7" x14ac:dyDescent="0.3">
      <c r="A522" s="1">
        <v>73336</v>
      </c>
      <c r="B522" t="str">
        <f>VLOOKUP(A522,Datos!$A$2:$H$1084,3,FALSE)</f>
        <v>4.81</v>
      </c>
      <c r="C522" t="str">
        <f>VLOOKUP(A522,Datos!$A$2:$H$1084,4,FALSE)</f>
        <v>0.00</v>
      </c>
      <c r="D522" t="str">
        <f>VLOOKUP(A522,Datos!$A$2:$H$1084,5,FALSE)</f>
        <v>0.17</v>
      </c>
      <c r="E522" t="str">
        <f>VLOOKUP(A522,Datos!$A$2:$H$1084,6,FALSE)</f>
        <v>0.22</v>
      </c>
      <c r="F522" t="str">
        <f>VLOOKUP(A522,Datos!$A$2:$H$1084,7,FALSE)</f>
        <v>0.00</v>
      </c>
      <c r="G522" t="str">
        <f>VLOOKUP(A522,Datos!$A$2:$H$1084,8,FALSE)</f>
        <v>0.01</v>
      </c>
    </row>
    <row r="523" spans="1:7" x14ac:dyDescent="0.3">
      <c r="A523" s="1">
        <v>152022</v>
      </c>
      <c r="B523" t="str">
        <f>VLOOKUP(A523,Datos!$A$2:$H$1084,3,FALSE)</f>
        <v>92.75</v>
      </c>
      <c r="C523" t="str">
        <f>VLOOKUP(A523,Datos!$A$2:$H$1084,4,FALSE)</f>
        <v>0.00</v>
      </c>
      <c r="D523" t="str">
        <f>VLOOKUP(A523,Datos!$A$2:$H$1084,5,FALSE)</f>
        <v>1.12</v>
      </c>
      <c r="E523" t="str">
        <f>VLOOKUP(A523,Datos!$A$2:$H$1084,6,FALSE)</f>
        <v>24.57</v>
      </c>
      <c r="F523" t="str">
        <f>VLOOKUP(A523,Datos!$A$2:$H$1084,7,FALSE)</f>
        <v>0.00</v>
      </c>
      <c r="G523" t="str">
        <f>VLOOKUP(A523,Datos!$A$2:$H$1084,8,FALSE)</f>
        <v>0.10</v>
      </c>
    </row>
    <row r="524" spans="1:7" x14ac:dyDescent="0.3">
      <c r="A524" s="1">
        <v>66835</v>
      </c>
      <c r="B524" t="str">
        <f>VLOOKUP(A524,Datos!$A$2:$H$1084,3,FALSE)</f>
        <v>18.89</v>
      </c>
      <c r="C524" t="str">
        <f>VLOOKUP(A524,Datos!$A$2:$H$1084,4,FALSE)</f>
        <v>0.00</v>
      </c>
      <c r="D524" t="str">
        <f>VLOOKUP(A524,Datos!$A$2:$H$1084,5,FALSE)</f>
        <v>0.31</v>
      </c>
      <c r="E524" t="str">
        <f>VLOOKUP(A524,Datos!$A$2:$H$1084,6,FALSE)</f>
        <v>1.63</v>
      </c>
      <c r="F524" t="str">
        <f>VLOOKUP(A524,Datos!$A$2:$H$1084,7,FALSE)</f>
        <v>0.00</v>
      </c>
      <c r="G524" t="str">
        <f>VLOOKUP(A524,Datos!$A$2:$H$1084,8,FALSE)</f>
        <v>0.02</v>
      </c>
    </row>
    <row r="525" spans="1:7" x14ac:dyDescent="0.3">
      <c r="A525" s="1">
        <v>62535</v>
      </c>
      <c r="B525" t="str">
        <f>VLOOKUP(A525,Datos!$A$2:$H$1084,3,FALSE)</f>
        <v>79.10</v>
      </c>
      <c r="C525" t="str">
        <f>VLOOKUP(A525,Datos!$A$2:$H$1084,4,FALSE)</f>
        <v>0.00</v>
      </c>
      <c r="D525" t="str">
        <f>VLOOKUP(A525,Datos!$A$2:$H$1084,5,FALSE)</f>
        <v>0.47</v>
      </c>
      <c r="E525" t="str">
        <f>VLOOKUP(A525,Datos!$A$2:$H$1084,6,FALSE)</f>
        <v>17.82</v>
      </c>
      <c r="F525" t="str">
        <f>VLOOKUP(A525,Datos!$A$2:$H$1084,7,FALSE)</f>
        <v>0.00</v>
      </c>
      <c r="G525" t="str">
        <f>VLOOKUP(A525,Datos!$A$2:$H$1084,8,FALSE)</f>
        <v>0.04</v>
      </c>
    </row>
    <row r="526" spans="1:7" x14ac:dyDescent="0.3">
      <c r="A526" s="1">
        <v>64723</v>
      </c>
      <c r="B526" t="str">
        <f>VLOOKUP(A526,Datos!$A$2:$H$1084,3,FALSE)</f>
        <v>109.11</v>
      </c>
      <c r="C526" t="str">
        <f>VLOOKUP(A526,Datos!$A$2:$H$1084,4,FALSE)</f>
        <v>0.00</v>
      </c>
      <c r="D526" t="str">
        <f>VLOOKUP(A526,Datos!$A$2:$H$1084,5,FALSE)</f>
        <v>0.59</v>
      </c>
      <c r="E526" t="str">
        <f>VLOOKUP(A526,Datos!$A$2:$H$1084,6,FALSE)</f>
        <v>13.18</v>
      </c>
      <c r="F526" t="str">
        <f>VLOOKUP(A526,Datos!$A$2:$H$1084,7,FALSE)</f>
        <v>0.00</v>
      </c>
      <c r="G526" t="str">
        <f>VLOOKUP(A526,Datos!$A$2:$H$1084,8,FALSE)</f>
        <v>0.10</v>
      </c>
    </row>
    <row r="527" spans="1:7" x14ac:dyDescent="0.3">
      <c r="A527" s="1">
        <v>148563</v>
      </c>
      <c r="B527" t="str">
        <f>VLOOKUP(A527,Datos!$A$2:$H$1084,3,FALSE)</f>
        <v>23.47</v>
      </c>
      <c r="C527" t="str">
        <f>VLOOKUP(A527,Datos!$A$2:$H$1084,4,FALSE)</f>
        <v>0.00</v>
      </c>
      <c r="D527" t="str">
        <f>VLOOKUP(A527,Datos!$A$2:$H$1084,5,FALSE)</f>
        <v>0.08</v>
      </c>
      <c r="E527" t="str">
        <f>VLOOKUP(A527,Datos!$A$2:$H$1084,6,FALSE)</f>
        <v>3.74</v>
      </c>
      <c r="F527" t="str">
        <f>VLOOKUP(A527,Datos!$A$2:$H$1084,7,FALSE)</f>
        <v>0.00</v>
      </c>
      <c r="G527" t="str">
        <f>VLOOKUP(A527,Datos!$A$2:$H$1084,8,FALSE)</f>
        <v>0.01</v>
      </c>
    </row>
    <row r="528" spans="1:7" x14ac:dyDescent="0.3">
      <c r="A528" s="1">
        <v>453360</v>
      </c>
      <c r="B528" t="str">
        <f>VLOOKUP(A528,Datos!$A$2:$H$1084,3,FALSE)</f>
        <v>37.37</v>
      </c>
      <c r="C528" t="str">
        <f>VLOOKUP(A528,Datos!$A$2:$H$1084,4,FALSE)</f>
        <v>0.01</v>
      </c>
      <c r="D528" t="str">
        <f>VLOOKUP(A528,Datos!$A$2:$H$1084,5,FALSE)</f>
        <v>1.07</v>
      </c>
      <c r="E528" t="str">
        <f>VLOOKUP(A528,Datos!$A$2:$H$1084,6,FALSE)</f>
        <v>45.37</v>
      </c>
      <c r="F528" t="str">
        <f>VLOOKUP(A528,Datos!$A$2:$H$1084,7,FALSE)</f>
        <v>0.01</v>
      </c>
      <c r="G528" t="str">
        <f>VLOOKUP(A528,Datos!$A$2:$H$1084,8,FALSE)</f>
        <v>0.17</v>
      </c>
    </row>
    <row r="529" spans="1:7" x14ac:dyDescent="0.3">
      <c r="A529" s="1">
        <v>84387</v>
      </c>
      <c r="B529" t="str">
        <f>VLOOKUP(A529,Datos!$A$2:$H$1084,3,FALSE)</f>
        <v>47.47</v>
      </c>
      <c r="C529" t="str">
        <f>VLOOKUP(A529,Datos!$A$2:$H$1084,4,FALSE)</f>
        <v>0.00</v>
      </c>
      <c r="D529" t="str">
        <f>VLOOKUP(A529,Datos!$A$2:$H$1084,5,FALSE)</f>
        <v>0.09</v>
      </c>
      <c r="E529" t="str">
        <f>VLOOKUP(A529,Datos!$A$2:$H$1084,6,FALSE)</f>
        <v>4.54</v>
      </c>
      <c r="F529" t="str">
        <f>VLOOKUP(A529,Datos!$A$2:$H$1084,7,FALSE)</f>
        <v>0.00</v>
      </c>
      <c r="G529" t="str">
        <f>VLOOKUP(A529,Datos!$A$2:$H$1084,8,FALSE)</f>
        <v>0.01</v>
      </c>
    </row>
    <row r="530" spans="1:7" x14ac:dyDescent="0.3">
      <c r="A530" s="1">
        <v>68207</v>
      </c>
      <c r="B530" t="str">
        <f>VLOOKUP(A530,Datos!$A$2:$H$1084,3,FALSE)</f>
        <v>62.41</v>
      </c>
      <c r="C530" t="str">
        <f>VLOOKUP(A530,Datos!$A$2:$H$1084,4,FALSE)</f>
        <v>0.00</v>
      </c>
      <c r="D530" t="str">
        <f>VLOOKUP(A530,Datos!$A$2:$H$1084,5,FALSE)</f>
        <v>0.49</v>
      </c>
      <c r="E530" t="str">
        <f>VLOOKUP(A530,Datos!$A$2:$H$1084,6,FALSE)</f>
        <v>9.57</v>
      </c>
      <c r="F530" t="str">
        <f>VLOOKUP(A530,Datos!$A$2:$H$1084,7,FALSE)</f>
        <v>0.00</v>
      </c>
      <c r="G530" t="str">
        <f>VLOOKUP(A530,Datos!$A$2:$H$1084,8,FALSE)</f>
        <v>0.03</v>
      </c>
    </row>
    <row r="531" spans="1:7" x14ac:dyDescent="0.3">
      <c r="A531" s="1">
        <v>459343</v>
      </c>
      <c r="B531" t="str">
        <f>VLOOKUP(A531,Datos!$A$2:$H$1084,3,FALSE)</f>
        <v>40.82</v>
      </c>
      <c r="C531" t="str">
        <f>VLOOKUP(A531,Datos!$A$2:$H$1084,4,FALSE)</f>
        <v>0.00</v>
      </c>
      <c r="D531" t="str">
        <f>VLOOKUP(A531,Datos!$A$2:$H$1084,5,FALSE)</f>
        <v>0.18</v>
      </c>
      <c r="E531" t="str">
        <f>VLOOKUP(A531,Datos!$A$2:$H$1084,6,FALSE)</f>
        <v>8.11</v>
      </c>
      <c r="F531" t="str">
        <f>VLOOKUP(A531,Datos!$A$2:$H$1084,7,FALSE)</f>
        <v>0.00</v>
      </c>
      <c r="G531" t="str">
        <f>VLOOKUP(A531,Datos!$A$2:$H$1084,8,FALSE)</f>
        <v>0.02</v>
      </c>
    </row>
    <row r="532" spans="1:7" x14ac:dyDescent="0.3">
      <c r="A532" s="1">
        <v>552336</v>
      </c>
      <c r="B532" t="str">
        <f>VLOOKUP(A532,Datos!$A$2:$H$1084,3,FALSE)</f>
        <v>11.12</v>
      </c>
      <c r="C532" t="str">
        <f>VLOOKUP(A532,Datos!$A$2:$H$1084,4,FALSE)</f>
        <v>0.00</v>
      </c>
      <c r="D532" t="str">
        <f>VLOOKUP(A532,Datos!$A$2:$H$1084,5,FALSE)</f>
        <v>0.01</v>
      </c>
      <c r="E532" t="str">
        <f>VLOOKUP(A532,Datos!$A$2:$H$1084,6,FALSE)</f>
        <v>4.59</v>
      </c>
      <c r="F532" t="str">
        <f>VLOOKUP(A532,Datos!$A$2:$H$1084,7,FALSE)</f>
        <v>0.00</v>
      </c>
      <c r="G532" t="str">
        <f>VLOOKUP(A532,Datos!$A$2:$H$1084,8,FALSE)</f>
        <v>0.00</v>
      </c>
    </row>
    <row r="533" spans="1:7" x14ac:dyDescent="0.3">
      <c r="A533" s="1">
        <v>58656</v>
      </c>
      <c r="B533" t="str">
        <f>VLOOKUP(A533,Datos!$A$2:$H$1084,3,FALSE)</f>
        <v>46.95</v>
      </c>
      <c r="C533" t="str">
        <f>VLOOKUP(A533,Datos!$A$2:$H$1084,4,FALSE)</f>
        <v>0.00</v>
      </c>
      <c r="D533" t="str">
        <f>VLOOKUP(A533,Datos!$A$2:$H$1084,5,FALSE)</f>
        <v>0.02</v>
      </c>
      <c r="E533" t="str">
        <f>VLOOKUP(A533,Datos!$A$2:$H$1084,6,FALSE)</f>
        <v>8.91</v>
      </c>
      <c r="F533" t="str">
        <f>VLOOKUP(A533,Datos!$A$2:$H$1084,7,FALSE)</f>
        <v>0.00</v>
      </c>
      <c r="G533" t="str">
        <f>VLOOKUP(A533,Datos!$A$2:$H$1084,8,FALSE)</f>
        <v>0.01</v>
      </c>
    </row>
    <row r="534" spans="1:7" x14ac:dyDescent="0.3">
      <c r="A534" s="1">
        <v>52414</v>
      </c>
      <c r="B534" t="str">
        <f>VLOOKUP(A534,Datos!$A$2:$H$1084,3,FALSE)</f>
        <v>43.46</v>
      </c>
      <c r="C534" t="str">
        <f>VLOOKUP(A534,Datos!$A$2:$H$1084,4,FALSE)</f>
        <v>0.00</v>
      </c>
      <c r="D534" t="str">
        <f>VLOOKUP(A534,Datos!$A$2:$H$1084,5,FALSE)</f>
        <v>0.79</v>
      </c>
      <c r="E534" t="str">
        <f>VLOOKUP(A534,Datos!$A$2:$H$1084,6,FALSE)</f>
        <v>10.30</v>
      </c>
      <c r="F534" t="str">
        <f>VLOOKUP(A534,Datos!$A$2:$H$1084,7,FALSE)</f>
        <v>0.00</v>
      </c>
      <c r="G534" t="str">
        <f>VLOOKUP(A534,Datos!$A$2:$H$1084,8,FALSE)</f>
        <v>0.06</v>
      </c>
    </row>
    <row r="535" spans="1:7" x14ac:dyDescent="0.3">
      <c r="A535" s="1">
        <v>86800</v>
      </c>
      <c r="B535" t="str">
        <f>VLOOKUP(A535,Datos!$A$2:$H$1084,3,FALSE)</f>
        <v>78.90</v>
      </c>
      <c r="C535" t="str">
        <f>VLOOKUP(A535,Datos!$A$2:$H$1084,4,FALSE)</f>
        <v>0.00</v>
      </c>
      <c r="D535" t="str">
        <f>VLOOKUP(A535,Datos!$A$2:$H$1084,5,FALSE)</f>
        <v>0.64</v>
      </c>
      <c r="E535" t="str">
        <f>VLOOKUP(A535,Datos!$A$2:$H$1084,6,FALSE)</f>
        <v>9.08</v>
      </c>
      <c r="F535" t="str">
        <f>VLOOKUP(A535,Datos!$A$2:$H$1084,7,FALSE)</f>
        <v>0.00</v>
      </c>
      <c r="G535" t="str">
        <f>VLOOKUP(A535,Datos!$A$2:$H$1084,8,FALSE)</f>
        <v>0.05</v>
      </c>
    </row>
    <row r="536" spans="1:7" x14ac:dyDescent="0.3">
      <c r="A536" s="1">
        <v>63648</v>
      </c>
      <c r="B536" t="str">
        <f>VLOOKUP(A536,Datos!$A$2:$H$1084,3,FALSE)</f>
        <v>0.01</v>
      </c>
      <c r="C536" t="str">
        <f>VLOOKUP(A536,Datos!$A$2:$H$1084,4,FALSE)</f>
        <v>0.00</v>
      </c>
      <c r="D536" t="str">
        <f>VLOOKUP(A536,Datos!$A$2:$H$1084,5,FALSE)</f>
        <v>0.00</v>
      </c>
      <c r="E536" t="str">
        <f>VLOOKUP(A536,Datos!$A$2:$H$1084,6,FALSE)</f>
        <v>0.04</v>
      </c>
      <c r="F536" t="str">
        <f>VLOOKUP(A536,Datos!$A$2:$H$1084,7,FALSE)</f>
        <v>0.00</v>
      </c>
      <c r="G536" t="str">
        <f>VLOOKUP(A536,Datos!$A$2:$H$1084,8,FALSE)</f>
        <v>0.00</v>
      </c>
    </row>
    <row r="537" spans="1:7" x14ac:dyDescent="0.3">
      <c r="A537" s="1">
        <v>62922</v>
      </c>
      <c r="B537" t="str">
        <f>VLOOKUP(A537,Datos!$A$2:$H$1084,3,FALSE)</f>
        <v>94.66</v>
      </c>
      <c r="C537" t="str">
        <f>VLOOKUP(A537,Datos!$A$2:$H$1084,4,FALSE)</f>
        <v>0.00</v>
      </c>
      <c r="D537" t="str">
        <f>VLOOKUP(A537,Datos!$A$2:$H$1084,5,FALSE)</f>
        <v>0.28</v>
      </c>
      <c r="E537" t="str">
        <f>VLOOKUP(A537,Datos!$A$2:$H$1084,6,FALSE)</f>
        <v>11.64</v>
      </c>
      <c r="F537" t="str">
        <f>VLOOKUP(A537,Datos!$A$2:$H$1084,7,FALSE)</f>
        <v>0.00</v>
      </c>
      <c r="G537" t="str">
        <f>VLOOKUP(A537,Datos!$A$2:$H$1084,8,FALSE)</f>
        <v>0.03</v>
      </c>
    </row>
    <row r="538" spans="1:7" x14ac:dyDescent="0.3">
      <c r="A538" s="1">
        <v>66487</v>
      </c>
      <c r="B538" t="str">
        <f>VLOOKUP(A538,Datos!$A$2:$H$1084,3,FALSE)</f>
        <v>109.92</v>
      </c>
      <c r="C538" t="str">
        <f>VLOOKUP(A538,Datos!$A$2:$H$1084,4,FALSE)</f>
        <v>0.00</v>
      </c>
      <c r="D538" t="str">
        <f>VLOOKUP(A538,Datos!$A$2:$H$1084,5,FALSE)</f>
        <v>0.26</v>
      </c>
      <c r="E538" t="str">
        <f>VLOOKUP(A538,Datos!$A$2:$H$1084,6,FALSE)</f>
        <v>6.97</v>
      </c>
      <c r="F538" t="str">
        <f>VLOOKUP(A538,Datos!$A$2:$H$1084,7,FALSE)</f>
        <v>0.00</v>
      </c>
      <c r="G538" t="str">
        <f>VLOOKUP(A538,Datos!$A$2:$H$1084,8,FALSE)</f>
        <v>0.03</v>
      </c>
    </row>
    <row r="539" spans="1:7" x14ac:dyDescent="0.3">
      <c r="A539" s="1">
        <v>64756</v>
      </c>
      <c r="B539" t="str">
        <f>VLOOKUP(A539,Datos!$A$2:$H$1084,3,FALSE)</f>
        <v>90.12</v>
      </c>
      <c r="C539" t="str">
        <f>VLOOKUP(A539,Datos!$A$2:$H$1084,4,FALSE)</f>
        <v>0.00</v>
      </c>
      <c r="D539" t="str">
        <f>VLOOKUP(A539,Datos!$A$2:$H$1084,5,FALSE)</f>
        <v>0.09</v>
      </c>
      <c r="E539" t="str">
        <f>VLOOKUP(A539,Datos!$A$2:$H$1084,6,FALSE)</f>
        <v>5.28</v>
      </c>
      <c r="F539" t="str">
        <f>VLOOKUP(A539,Datos!$A$2:$H$1084,7,FALSE)</f>
        <v>0.00</v>
      </c>
      <c r="G539" t="str">
        <f>VLOOKUP(A539,Datos!$A$2:$H$1084,8,FALSE)</f>
        <v>0.01</v>
      </c>
    </row>
    <row r="540" spans="1:7" x14ac:dyDescent="0.3">
      <c r="A540" s="1">
        <v>61239</v>
      </c>
      <c r="B540" t="str">
        <f>VLOOKUP(A540,Datos!$A$2:$H$1084,3,FALSE)</f>
        <v>42.27</v>
      </c>
      <c r="C540" t="str">
        <f>VLOOKUP(A540,Datos!$A$2:$H$1084,4,FALSE)</f>
        <v>0.00</v>
      </c>
      <c r="D540" t="str">
        <f>VLOOKUP(A540,Datos!$A$2:$H$1084,5,FALSE)</f>
        <v>0.17</v>
      </c>
      <c r="E540" t="str">
        <f>VLOOKUP(A540,Datos!$A$2:$H$1084,6,FALSE)</f>
        <v>10.49</v>
      </c>
      <c r="F540" t="str">
        <f>VLOOKUP(A540,Datos!$A$2:$H$1084,7,FALSE)</f>
        <v>0.00</v>
      </c>
      <c r="G540" t="str">
        <f>VLOOKUP(A540,Datos!$A$2:$H$1084,8,FALSE)</f>
        <v>0.03</v>
      </c>
    </row>
    <row r="541" spans="1:7" x14ac:dyDescent="0.3">
      <c r="A541" s="1">
        <v>63931</v>
      </c>
      <c r="B541" t="str">
        <f>VLOOKUP(A541,Datos!$A$2:$H$1084,3,FALSE)</f>
        <v>96.19</v>
      </c>
      <c r="C541" t="str">
        <f>VLOOKUP(A541,Datos!$A$2:$H$1084,4,FALSE)</f>
        <v>0.00</v>
      </c>
      <c r="D541" t="str">
        <f>VLOOKUP(A541,Datos!$A$2:$H$1084,5,FALSE)</f>
        <v>0.76</v>
      </c>
      <c r="E541" t="str">
        <f>VLOOKUP(A541,Datos!$A$2:$H$1084,6,FALSE)</f>
        <v>27.96</v>
      </c>
      <c r="F541" t="str">
        <f>VLOOKUP(A541,Datos!$A$2:$H$1084,7,FALSE)</f>
        <v>0.00</v>
      </c>
      <c r="G541" t="str">
        <f>VLOOKUP(A541,Datos!$A$2:$H$1084,8,FALSE)</f>
        <v>0.06</v>
      </c>
    </row>
    <row r="542" spans="1:7" x14ac:dyDescent="0.3">
      <c r="A542" s="1">
        <v>152729</v>
      </c>
      <c r="B542" t="str">
        <f>VLOOKUP(A542,Datos!$A$2:$H$1084,3,FALSE)</f>
        <v>29.70</v>
      </c>
      <c r="C542" t="str">
        <f>VLOOKUP(A542,Datos!$A$2:$H$1084,4,FALSE)</f>
        <v>0.00</v>
      </c>
      <c r="D542" t="str">
        <f>VLOOKUP(A542,Datos!$A$2:$H$1084,5,FALSE)</f>
        <v>0.10</v>
      </c>
      <c r="E542" t="str">
        <f>VLOOKUP(A542,Datos!$A$2:$H$1084,6,FALSE)</f>
        <v>14.99</v>
      </c>
      <c r="F542" t="str">
        <f>VLOOKUP(A542,Datos!$A$2:$H$1084,7,FALSE)</f>
        <v>0.00</v>
      </c>
      <c r="G542" t="str">
        <f>VLOOKUP(A542,Datos!$A$2:$H$1084,8,FALSE)</f>
        <v>0.01</v>
      </c>
    </row>
    <row r="543" spans="1:7" x14ac:dyDescent="0.3">
      <c r="A543" s="1">
        <v>193522</v>
      </c>
      <c r="B543" t="str">
        <f>VLOOKUP(A543,Datos!$A$2:$H$1084,3,FALSE)</f>
        <v>33.01</v>
      </c>
      <c r="C543" t="str">
        <f>VLOOKUP(A543,Datos!$A$2:$H$1084,4,FALSE)</f>
        <v>0.00</v>
      </c>
      <c r="D543" t="str">
        <f>VLOOKUP(A543,Datos!$A$2:$H$1084,5,FALSE)</f>
        <v>0.08</v>
      </c>
      <c r="E543" t="str">
        <f>VLOOKUP(A543,Datos!$A$2:$H$1084,6,FALSE)</f>
        <v>1.13</v>
      </c>
      <c r="F543" t="str">
        <f>VLOOKUP(A543,Datos!$A$2:$H$1084,7,FALSE)</f>
        <v>0.01</v>
      </c>
      <c r="G543" t="str">
        <f>VLOOKUP(A543,Datos!$A$2:$H$1084,8,FALSE)</f>
        <v>0.01</v>
      </c>
    </row>
    <row r="544" spans="1:7" x14ac:dyDescent="0.3">
      <c r="A544" s="1">
        <v>157350</v>
      </c>
      <c r="B544" t="str">
        <f>VLOOKUP(A544,Datos!$A$2:$H$1084,3,FALSE)</f>
        <v>40.79</v>
      </c>
      <c r="C544" t="str">
        <f>VLOOKUP(A544,Datos!$A$2:$H$1084,4,FALSE)</f>
        <v>0.00</v>
      </c>
      <c r="D544" t="str">
        <f>VLOOKUP(A544,Datos!$A$2:$H$1084,5,FALSE)</f>
        <v>0.06</v>
      </c>
      <c r="E544" t="str">
        <f>VLOOKUP(A544,Datos!$A$2:$H$1084,6,FALSE)</f>
        <v>6.40</v>
      </c>
      <c r="F544" t="str">
        <f>VLOOKUP(A544,Datos!$A$2:$H$1084,7,FALSE)</f>
        <v>0.00</v>
      </c>
      <c r="G544" t="str">
        <f>VLOOKUP(A544,Datos!$A$2:$H$1084,8,FALSE)</f>
        <v>0.01</v>
      </c>
    </row>
    <row r="545" spans="1:7" x14ac:dyDescent="0.3">
      <c r="A545" s="1">
        <v>62615</v>
      </c>
      <c r="B545" t="str">
        <f>VLOOKUP(A545,Datos!$A$2:$H$1084,3,FALSE)</f>
        <v>48.46</v>
      </c>
      <c r="C545" t="str">
        <f>VLOOKUP(A545,Datos!$A$2:$H$1084,4,FALSE)</f>
        <v>0.00</v>
      </c>
      <c r="D545" t="str">
        <f>VLOOKUP(A545,Datos!$A$2:$H$1084,5,FALSE)</f>
        <v>0.04</v>
      </c>
      <c r="E545" t="str">
        <f>VLOOKUP(A545,Datos!$A$2:$H$1084,6,FALSE)</f>
        <v>1.62</v>
      </c>
      <c r="F545" t="str">
        <f>VLOOKUP(A545,Datos!$A$2:$H$1084,7,FALSE)</f>
        <v>0.00</v>
      </c>
      <c r="G545" t="str">
        <f>VLOOKUP(A545,Datos!$A$2:$H$1084,8,FALSE)</f>
        <v>0.01</v>
      </c>
    </row>
    <row r="546" spans="1:7" x14ac:dyDescent="0.3">
      <c r="A546" s="1">
        <v>151635</v>
      </c>
      <c r="B546" t="str">
        <f>VLOOKUP(A546,Datos!$A$2:$H$1084,3,FALSE)</f>
        <v>51.36</v>
      </c>
      <c r="C546" t="str">
        <f>VLOOKUP(A546,Datos!$A$2:$H$1084,4,FALSE)</f>
        <v>0.00</v>
      </c>
      <c r="D546" t="str">
        <f>VLOOKUP(A546,Datos!$A$2:$H$1084,5,FALSE)</f>
        <v>0.52</v>
      </c>
      <c r="E546" t="str">
        <f>VLOOKUP(A546,Datos!$A$2:$H$1084,6,FALSE)</f>
        <v>8.48</v>
      </c>
      <c r="F546" t="str">
        <f>VLOOKUP(A546,Datos!$A$2:$H$1084,7,FALSE)</f>
        <v>0.00</v>
      </c>
      <c r="G546" t="str">
        <f>VLOOKUP(A546,Datos!$A$2:$H$1084,8,FALSE)</f>
        <v>0.04</v>
      </c>
    </row>
    <row r="547" spans="1:7" x14ac:dyDescent="0.3">
      <c r="A547" s="1">
        <v>463712</v>
      </c>
      <c r="B547" t="str">
        <f>VLOOKUP(A547,Datos!$A$2:$H$1084,3,FALSE)</f>
        <v>73.89</v>
      </c>
      <c r="C547" t="str">
        <f>VLOOKUP(A547,Datos!$A$2:$H$1084,4,FALSE)</f>
        <v>0.00</v>
      </c>
      <c r="D547" t="str">
        <f>VLOOKUP(A547,Datos!$A$2:$H$1084,5,FALSE)</f>
        <v>0.41</v>
      </c>
      <c r="E547" t="str">
        <f>VLOOKUP(A547,Datos!$A$2:$H$1084,6,FALSE)</f>
        <v>44.52</v>
      </c>
      <c r="F547" t="str">
        <f>VLOOKUP(A547,Datos!$A$2:$H$1084,7,FALSE)</f>
        <v>0.00</v>
      </c>
      <c r="G547" t="str">
        <f>VLOOKUP(A547,Datos!$A$2:$H$1084,8,FALSE)</f>
        <v>0.07</v>
      </c>
    </row>
    <row r="548" spans="1:7" x14ac:dyDescent="0.3">
      <c r="A548" s="1">
        <v>168933</v>
      </c>
      <c r="B548" t="str">
        <f>VLOOKUP(A548,Datos!$A$2:$H$1084,3,FALSE)</f>
        <v>27.62</v>
      </c>
      <c r="C548" t="str">
        <f>VLOOKUP(A548,Datos!$A$2:$H$1084,4,FALSE)</f>
        <v>0.00</v>
      </c>
      <c r="D548" t="str">
        <f>VLOOKUP(A548,Datos!$A$2:$H$1084,5,FALSE)</f>
        <v>0.02</v>
      </c>
      <c r="E548" t="str">
        <f>VLOOKUP(A548,Datos!$A$2:$H$1084,6,FALSE)</f>
        <v>18.92</v>
      </c>
      <c r="F548" t="str">
        <f>VLOOKUP(A548,Datos!$A$2:$H$1084,7,FALSE)</f>
        <v>0.00</v>
      </c>
      <c r="G548" t="str">
        <f>VLOOKUP(A548,Datos!$A$2:$H$1084,8,FALSE)</f>
        <v>0.01</v>
      </c>
    </row>
    <row r="549" spans="1:7" x14ac:dyDescent="0.3">
      <c r="A549" s="1">
        <v>463707</v>
      </c>
      <c r="B549" t="str">
        <f>VLOOKUP(A549,Datos!$A$2:$H$1084,3,FALSE)</f>
        <v>48.57</v>
      </c>
      <c r="C549" t="str">
        <f>VLOOKUP(A549,Datos!$A$2:$H$1084,4,FALSE)</f>
        <v>0.00</v>
      </c>
      <c r="D549" t="str">
        <f>VLOOKUP(A549,Datos!$A$2:$H$1084,5,FALSE)</f>
        <v>0.09</v>
      </c>
      <c r="E549" t="str">
        <f>VLOOKUP(A549,Datos!$A$2:$H$1084,6,FALSE)</f>
        <v>8.65</v>
      </c>
      <c r="F549" t="str">
        <f>VLOOKUP(A549,Datos!$A$2:$H$1084,7,FALSE)</f>
        <v>0.00</v>
      </c>
      <c r="G549" t="str">
        <f>VLOOKUP(A549,Datos!$A$2:$H$1084,8,FALSE)</f>
        <v>0.01</v>
      </c>
    </row>
    <row r="550" spans="1:7" x14ac:dyDescent="0.3">
      <c r="A550" s="1">
        <v>488717</v>
      </c>
      <c r="B550" t="str">
        <f>VLOOKUP(A550,Datos!$A$2:$H$1084,3,FALSE)</f>
        <v>81.88</v>
      </c>
      <c r="C550" t="str">
        <f>VLOOKUP(A550,Datos!$A$2:$H$1084,4,FALSE)</f>
        <v>0.00</v>
      </c>
      <c r="D550" t="str">
        <f>VLOOKUP(A550,Datos!$A$2:$H$1084,5,FALSE)</f>
        <v>0.48</v>
      </c>
      <c r="E550" t="str">
        <f>VLOOKUP(A550,Datos!$A$2:$H$1084,6,FALSE)</f>
        <v>25.49</v>
      </c>
      <c r="F550" t="str">
        <f>VLOOKUP(A550,Datos!$A$2:$H$1084,7,FALSE)</f>
        <v>0.00</v>
      </c>
      <c r="G550" t="str">
        <f>VLOOKUP(A550,Datos!$A$2:$H$1084,8,FALSE)</f>
        <v>0.05</v>
      </c>
    </row>
    <row r="551" spans="1:7" x14ac:dyDescent="0.3">
      <c r="A551" s="1">
        <v>60353</v>
      </c>
      <c r="B551" t="str">
        <f>VLOOKUP(A551,Datos!$A$2:$H$1084,3,FALSE)</f>
        <v>63.43</v>
      </c>
      <c r="C551" t="str">
        <f>VLOOKUP(A551,Datos!$A$2:$H$1084,4,FALSE)</f>
        <v>0.00</v>
      </c>
      <c r="D551" t="str">
        <f>VLOOKUP(A551,Datos!$A$2:$H$1084,5,FALSE)</f>
        <v>0.16</v>
      </c>
      <c r="E551" t="str">
        <f>VLOOKUP(A551,Datos!$A$2:$H$1084,6,FALSE)</f>
        <v>3.08</v>
      </c>
      <c r="F551" t="str">
        <f>VLOOKUP(A551,Datos!$A$2:$H$1084,7,FALSE)</f>
        <v>0.00</v>
      </c>
      <c r="G551" t="str">
        <f>VLOOKUP(A551,Datos!$A$2:$H$1084,8,FALSE)</f>
        <v>0.01</v>
      </c>
    </row>
    <row r="552" spans="1:7" x14ac:dyDescent="0.3">
      <c r="A552" s="1">
        <v>148501</v>
      </c>
      <c r="B552" t="str">
        <f>VLOOKUP(A552,Datos!$A$2:$H$1084,3,FALSE)</f>
        <v>57.59</v>
      </c>
      <c r="C552" t="str">
        <f>VLOOKUP(A552,Datos!$A$2:$H$1084,4,FALSE)</f>
        <v>0.00</v>
      </c>
      <c r="D552" t="str">
        <f>VLOOKUP(A552,Datos!$A$2:$H$1084,5,FALSE)</f>
        <v>0.20</v>
      </c>
      <c r="E552" t="str">
        <f>VLOOKUP(A552,Datos!$A$2:$H$1084,6,FALSE)</f>
        <v>5.46</v>
      </c>
      <c r="F552" t="str">
        <f>VLOOKUP(A552,Datos!$A$2:$H$1084,7,FALSE)</f>
        <v>0.00</v>
      </c>
      <c r="G552" t="str">
        <f>VLOOKUP(A552,Datos!$A$2:$H$1084,8,FALSE)</f>
        <v>0.02</v>
      </c>
    </row>
    <row r="553" spans="1:7" x14ac:dyDescent="0.3">
      <c r="A553" s="1">
        <v>150594</v>
      </c>
      <c r="B553" t="str">
        <f>VLOOKUP(A553,Datos!$A$2:$H$1084,3,FALSE)</f>
        <v>44.19</v>
      </c>
      <c r="C553" t="str">
        <f>VLOOKUP(A553,Datos!$A$2:$H$1084,4,FALSE)</f>
        <v>0.00</v>
      </c>
      <c r="D553" t="str">
        <f>VLOOKUP(A553,Datos!$A$2:$H$1084,5,FALSE)</f>
        <v>0.40</v>
      </c>
      <c r="E553" t="str">
        <f>VLOOKUP(A553,Datos!$A$2:$H$1084,6,FALSE)</f>
        <v>1.03</v>
      </c>
      <c r="F553" t="str">
        <f>VLOOKUP(A553,Datos!$A$2:$H$1084,7,FALSE)</f>
        <v>0.00</v>
      </c>
      <c r="G553" t="str">
        <f>VLOOKUP(A553,Datos!$A$2:$H$1084,8,FALSE)</f>
        <v>0.01</v>
      </c>
    </row>
    <row r="554" spans="1:7" x14ac:dyDescent="0.3">
      <c r="A554" s="1">
        <v>147691</v>
      </c>
      <c r="B554" t="str">
        <f>VLOOKUP(A554,Datos!$A$2:$H$1084,3,FALSE)</f>
        <v>51.49</v>
      </c>
      <c r="C554" t="str">
        <f>VLOOKUP(A554,Datos!$A$2:$H$1084,4,FALSE)</f>
        <v>0.00</v>
      </c>
      <c r="D554" t="str">
        <f>VLOOKUP(A554,Datos!$A$2:$H$1084,5,FALSE)</f>
        <v>0.21</v>
      </c>
      <c r="E554" t="str">
        <f>VLOOKUP(A554,Datos!$A$2:$H$1084,6,FALSE)</f>
        <v>23.72</v>
      </c>
      <c r="F554" t="str">
        <f>VLOOKUP(A554,Datos!$A$2:$H$1084,7,FALSE)</f>
        <v>0.00</v>
      </c>
      <c r="G554" t="str">
        <f>VLOOKUP(A554,Datos!$A$2:$H$1084,8,FALSE)</f>
        <v>0.09</v>
      </c>
    </row>
    <row r="555" spans="1:7" x14ac:dyDescent="0.3">
      <c r="A555" s="1">
        <v>5352</v>
      </c>
      <c r="B555" t="str">
        <f>VLOOKUP(A555,Datos!$A$2:$H$1084,3,FALSE)</f>
        <v>77.32</v>
      </c>
      <c r="C555" t="str">
        <f>VLOOKUP(A555,Datos!$A$2:$H$1084,4,FALSE)</f>
        <v>0.00</v>
      </c>
      <c r="D555" t="str">
        <f>VLOOKUP(A555,Datos!$A$2:$H$1084,5,FALSE)</f>
        <v>0.68</v>
      </c>
      <c r="E555" t="str">
        <f>VLOOKUP(A555,Datos!$A$2:$H$1084,6,FALSE)</f>
        <v>24.07</v>
      </c>
      <c r="F555" t="str">
        <f>VLOOKUP(A555,Datos!$A$2:$H$1084,7,FALSE)</f>
        <v>0.00</v>
      </c>
      <c r="G555" t="str">
        <f>VLOOKUP(A555,Datos!$A$2:$H$1084,8,FALSE)</f>
        <v>0.04</v>
      </c>
    </row>
    <row r="556" spans="1:7" x14ac:dyDescent="0.3">
      <c r="A556" s="1">
        <v>155030</v>
      </c>
      <c r="B556" t="str">
        <f>VLOOKUP(A556,Datos!$A$2:$H$1084,3,FALSE)</f>
        <v>131.99</v>
      </c>
      <c r="C556" t="str">
        <f>VLOOKUP(A556,Datos!$A$2:$H$1084,4,FALSE)</f>
        <v>0.00</v>
      </c>
      <c r="D556" t="str">
        <f>VLOOKUP(A556,Datos!$A$2:$H$1084,5,FALSE)</f>
        <v>2.64</v>
      </c>
      <c r="E556" t="str">
        <f>VLOOKUP(A556,Datos!$A$2:$H$1084,6,FALSE)</f>
        <v>16.93</v>
      </c>
      <c r="F556" t="str">
        <f>VLOOKUP(A556,Datos!$A$2:$H$1084,7,FALSE)</f>
        <v>0.00</v>
      </c>
      <c r="G556" t="str">
        <f>VLOOKUP(A556,Datos!$A$2:$H$1084,8,FALSE)</f>
        <v>0.11</v>
      </c>
    </row>
    <row r="557" spans="1:7" x14ac:dyDescent="0.3">
      <c r="A557" s="1">
        <v>467994</v>
      </c>
      <c r="B557" t="str">
        <f>VLOOKUP(A557,Datos!$A$2:$H$1084,3,FALSE)</f>
        <v>0</v>
      </c>
      <c r="C557" t="str">
        <f>VLOOKUP(A557,Datos!$A$2:$H$1084,4,FALSE)</f>
        <v>0</v>
      </c>
      <c r="D557" t="str">
        <f>VLOOKUP(A557,Datos!$A$2:$H$1084,5,FALSE)</f>
        <v>0</v>
      </c>
      <c r="E557" t="str">
        <f>VLOOKUP(A557,Datos!$A$2:$H$1084,6,FALSE)</f>
        <v>0</v>
      </c>
      <c r="F557" t="str">
        <f>VLOOKUP(A557,Datos!$A$2:$H$1084,7,FALSE)</f>
        <v>0</v>
      </c>
      <c r="G557" t="str">
        <f>VLOOKUP(A557,Datos!$A$2:$H$1084,8,FALSE)</f>
        <v>0</v>
      </c>
    </row>
    <row r="558" spans="1:7" x14ac:dyDescent="0.3">
      <c r="A558" s="1">
        <v>780687</v>
      </c>
      <c r="B558" t="str">
        <f>VLOOKUP(A558,Datos!$A$2:$H$1084,3,FALSE)</f>
        <v>85.36</v>
      </c>
      <c r="C558" t="str">
        <f>VLOOKUP(A558,Datos!$A$2:$H$1084,4,FALSE)</f>
        <v>0.00</v>
      </c>
      <c r="D558" t="str">
        <f>VLOOKUP(A558,Datos!$A$2:$H$1084,5,FALSE)</f>
        <v>0.98</v>
      </c>
      <c r="E558" t="str">
        <f>VLOOKUP(A558,Datos!$A$2:$H$1084,6,FALSE)</f>
        <v>12.88</v>
      </c>
      <c r="F558" t="str">
        <f>VLOOKUP(A558,Datos!$A$2:$H$1084,7,FALSE)</f>
        <v>0.00</v>
      </c>
      <c r="G558" t="str">
        <f>VLOOKUP(A558,Datos!$A$2:$H$1084,8,FALSE)</f>
        <v>0.06</v>
      </c>
    </row>
    <row r="559" spans="1:7" x14ac:dyDescent="0.3">
      <c r="A559" s="1">
        <v>67496</v>
      </c>
      <c r="B559" t="str">
        <f>VLOOKUP(A559,Datos!$A$2:$H$1084,3,FALSE)</f>
        <v>33.77</v>
      </c>
      <c r="C559" t="str">
        <f>VLOOKUP(A559,Datos!$A$2:$H$1084,4,FALSE)</f>
        <v>0.00</v>
      </c>
      <c r="D559" t="str">
        <f>VLOOKUP(A559,Datos!$A$2:$H$1084,5,FALSE)</f>
        <v>0.22</v>
      </c>
      <c r="E559" t="str">
        <f>VLOOKUP(A559,Datos!$A$2:$H$1084,6,FALSE)</f>
        <v>5.11</v>
      </c>
      <c r="F559" t="str">
        <f>VLOOKUP(A559,Datos!$A$2:$H$1084,7,FALSE)</f>
        <v>0.00</v>
      </c>
      <c r="G559" t="str">
        <f>VLOOKUP(A559,Datos!$A$2:$H$1084,8,FALSE)</f>
        <v>0.02</v>
      </c>
    </row>
    <row r="560" spans="1:7" x14ac:dyDescent="0.3">
      <c r="A560" s="1">
        <v>156826</v>
      </c>
      <c r="B560" t="str">
        <f>VLOOKUP(A560,Datos!$A$2:$H$1084,3,FALSE)</f>
        <v>48.95</v>
      </c>
      <c r="C560" t="str">
        <f>VLOOKUP(A560,Datos!$A$2:$H$1084,4,FALSE)</f>
        <v>0.00</v>
      </c>
      <c r="D560" t="str">
        <f>VLOOKUP(A560,Datos!$A$2:$H$1084,5,FALSE)</f>
        <v>0.37</v>
      </c>
      <c r="E560" t="str">
        <f>VLOOKUP(A560,Datos!$A$2:$H$1084,6,FALSE)</f>
        <v>11.25</v>
      </c>
      <c r="F560" t="str">
        <f>VLOOKUP(A560,Datos!$A$2:$H$1084,7,FALSE)</f>
        <v>0.00</v>
      </c>
      <c r="G560" t="str">
        <f>VLOOKUP(A560,Datos!$A$2:$H$1084,8,FALSE)</f>
        <v>0.05</v>
      </c>
    </row>
    <row r="561" spans="1:7" x14ac:dyDescent="0.3">
      <c r="A561" s="1">
        <v>443333</v>
      </c>
      <c r="B561" t="str">
        <f>VLOOKUP(A561,Datos!$A$2:$H$1084,3,FALSE)</f>
        <v>38.04</v>
      </c>
      <c r="C561" t="str">
        <f>VLOOKUP(A561,Datos!$A$2:$H$1084,4,FALSE)</f>
        <v>0.00</v>
      </c>
      <c r="D561" t="str">
        <f>VLOOKUP(A561,Datos!$A$2:$H$1084,5,FALSE)</f>
        <v>0.04</v>
      </c>
      <c r="E561" t="str">
        <f>VLOOKUP(A561,Datos!$A$2:$H$1084,6,FALSE)</f>
        <v>1.68</v>
      </c>
      <c r="F561" t="str">
        <f>VLOOKUP(A561,Datos!$A$2:$H$1084,7,FALSE)</f>
        <v>0.00</v>
      </c>
      <c r="G561" t="str">
        <f>VLOOKUP(A561,Datos!$A$2:$H$1084,8,FALSE)</f>
        <v>0.01</v>
      </c>
    </row>
    <row r="562" spans="1:7" x14ac:dyDescent="0.3">
      <c r="A562" s="1">
        <v>155426</v>
      </c>
      <c r="B562" t="str">
        <f>VLOOKUP(A562,Datos!$A$2:$H$1084,3,FALSE)</f>
        <v>50.42</v>
      </c>
      <c r="C562" t="str">
        <f>VLOOKUP(A562,Datos!$A$2:$H$1084,4,FALSE)</f>
        <v>0.01</v>
      </c>
      <c r="D562" t="str">
        <f>VLOOKUP(A562,Datos!$A$2:$H$1084,5,FALSE)</f>
        <v>1.39</v>
      </c>
      <c r="E562" t="str">
        <f>VLOOKUP(A562,Datos!$A$2:$H$1084,6,FALSE)</f>
        <v>4.70</v>
      </c>
      <c r="F562" t="str">
        <f>VLOOKUP(A562,Datos!$A$2:$H$1084,7,FALSE)</f>
        <v>0.00</v>
      </c>
      <c r="G562" t="str">
        <f>VLOOKUP(A562,Datos!$A$2:$H$1084,8,FALSE)</f>
        <v>0.01</v>
      </c>
    </row>
    <row r="563" spans="1:7" x14ac:dyDescent="0.3">
      <c r="A563" s="1">
        <v>67793</v>
      </c>
      <c r="B563" t="str">
        <f>VLOOKUP(A563,Datos!$A$2:$H$1084,3,FALSE)</f>
        <v>0.01</v>
      </c>
      <c r="C563" t="str">
        <f>VLOOKUP(A563,Datos!$A$2:$H$1084,4,FALSE)</f>
        <v>0.00</v>
      </c>
      <c r="D563" t="str">
        <f>VLOOKUP(A563,Datos!$A$2:$H$1084,5,FALSE)</f>
        <v>0.00</v>
      </c>
      <c r="E563" t="str">
        <f>VLOOKUP(A563,Datos!$A$2:$H$1084,6,FALSE)</f>
        <v>0.02</v>
      </c>
      <c r="F563" t="str">
        <f>VLOOKUP(A563,Datos!$A$2:$H$1084,7,FALSE)</f>
        <v>0.00</v>
      </c>
      <c r="G563" t="str">
        <f>VLOOKUP(A563,Datos!$A$2:$H$1084,8,FALSE)</f>
        <v>0.00</v>
      </c>
    </row>
    <row r="564" spans="1:7" x14ac:dyDescent="0.3">
      <c r="A564" s="1">
        <v>154479</v>
      </c>
      <c r="B564" t="str">
        <f>VLOOKUP(A564,Datos!$A$2:$H$1084,3,FALSE)</f>
        <v>50.75</v>
      </c>
      <c r="C564" t="str">
        <f>VLOOKUP(A564,Datos!$A$2:$H$1084,4,FALSE)</f>
        <v>0.00</v>
      </c>
      <c r="D564" t="str">
        <f>VLOOKUP(A564,Datos!$A$2:$H$1084,5,FALSE)</f>
        <v>1.87</v>
      </c>
      <c r="E564" t="str">
        <f>VLOOKUP(A564,Datos!$A$2:$H$1084,6,FALSE)</f>
        <v>15.89</v>
      </c>
      <c r="F564" t="str">
        <f>VLOOKUP(A564,Datos!$A$2:$H$1084,7,FALSE)</f>
        <v>0.00</v>
      </c>
      <c r="G564" t="str">
        <f>VLOOKUP(A564,Datos!$A$2:$H$1084,8,FALSE)</f>
        <v>0.01</v>
      </c>
    </row>
    <row r="565" spans="1:7" x14ac:dyDescent="0.3">
      <c r="A565" s="1">
        <v>65652</v>
      </c>
      <c r="B565" t="str">
        <f>VLOOKUP(A565,Datos!$A$2:$H$1084,3,FALSE)</f>
        <v>13.81</v>
      </c>
      <c r="C565" t="str">
        <f>VLOOKUP(A565,Datos!$A$2:$H$1084,4,FALSE)</f>
        <v>0.01</v>
      </c>
      <c r="D565" t="str">
        <f>VLOOKUP(A565,Datos!$A$2:$H$1084,5,FALSE)</f>
        <v>0.02</v>
      </c>
      <c r="E565" t="str">
        <f>VLOOKUP(A565,Datos!$A$2:$H$1084,6,FALSE)</f>
        <v>1.06</v>
      </c>
      <c r="F565" t="str">
        <f>VLOOKUP(A565,Datos!$A$2:$H$1084,7,FALSE)</f>
        <v>0.01</v>
      </c>
      <c r="G565" t="str">
        <f>VLOOKUP(A565,Datos!$A$2:$H$1084,8,FALSE)</f>
        <v>0.01</v>
      </c>
    </row>
    <row r="566" spans="1:7" x14ac:dyDescent="0.3">
      <c r="A566" s="1">
        <v>520915</v>
      </c>
      <c r="B566" t="str">
        <f>VLOOKUP(A566,Datos!$A$2:$H$1084,3,FALSE)</f>
        <v>2.11</v>
      </c>
      <c r="C566" t="str">
        <f>VLOOKUP(A566,Datos!$A$2:$H$1084,4,FALSE)</f>
        <v>0.01</v>
      </c>
      <c r="D566" t="str">
        <f>VLOOKUP(A566,Datos!$A$2:$H$1084,5,FALSE)</f>
        <v>0.01</v>
      </c>
      <c r="E566" t="str">
        <f>VLOOKUP(A566,Datos!$A$2:$H$1084,6,FALSE)</f>
        <v>0.23</v>
      </c>
      <c r="F566" t="str">
        <f>VLOOKUP(A566,Datos!$A$2:$H$1084,7,FALSE)</f>
        <v>0.01</v>
      </c>
      <c r="G566" t="str">
        <f>VLOOKUP(A566,Datos!$A$2:$H$1084,8,FALSE)</f>
        <v>0.01</v>
      </c>
    </row>
    <row r="567" spans="1:7" x14ac:dyDescent="0.3">
      <c r="A567" s="1">
        <v>48931</v>
      </c>
      <c r="B567" t="str">
        <f>VLOOKUP(A567,Datos!$A$2:$H$1084,3,FALSE)</f>
        <v>57.73</v>
      </c>
      <c r="C567" t="str">
        <f>VLOOKUP(A567,Datos!$A$2:$H$1084,4,FALSE)</f>
        <v>0.00</v>
      </c>
      <c r="D567" t="str">
        <f>VLOOKUP(A567,Datos!$A$2:$H$1084,5,FALSE)</f>
        <v>0.92</v>
      </c>
      <c r="E567" t="str">
        <f>VLOOKUP(A567,Datos!$A$2:$H$1084,6,FALSE)</f>
        <v>20.32</v>
      </c>
      <c r="F567" t="str">
        <f>VLOOKUP(A567,Datos!$A$2:$H$1084,7,FALSE)</f>
        <v>0.00</v>
      </c>
      <c r="G567" t="str">
        <f>VLOOKUP(A567,Datos!$A$2:$H$1084,8,FALSE)</f>
        <v>0.10</v>
      </c>
    </row>
    <row r="568" spans="1:7" x14ac:dyDescent="0.3">
      <c r="A568" s="1">
        <v>277994</v>
      </c>
      <c r="B568" t="str">
        <f>VLOOKUP(A568,Datos!$A$2:$H$1084,3,FALSE)</f>
        <v>36.57</v>
      </c>
      <c r="C568" t="str">
        <f>VLOOKUP(A568,Datos!$A$2:$H$1084,4,FALSE)</f>
        <v>0.01</v>
      </c>
      <c r="D568" t="str">
        <f>VLOOKUP(A568,Datos!$A$2:$H$1084,5,FALSE)</f>
        <v>0.05</v>
      </c>
      <c r="E568" t="str">
        <f>VLOOKUP(A568,Datos!$A$2:$H$1084,6,FALSE)</f>
        <v>1.85</v>
      </c>
      <c r="F568" t="str">
        <f>VLOOKUP(A568,Datos!$A$2:$H$1084,7,FALSE)</f>
        <v>0.01</v>
      </c>
      <c r="G568" t="str">
        <f>VLOOKUP(A568,Datos!$A$2:$H$1084,8,FALSE)</f>
        <v>0.01</v>
      </c>
    </row>
    <row r="569" spans="1:7" x14ac:dyDescent="0.3">
      <c r="A569" s="1">
        <v>487845</v>
      </c>
      <c r="B569" t="str">
        <f>VLOOKUP(A569,Datos!$A$2:$H$1084,3,FALSE)</f>
        <v>46.67</v>
      </c>
      <c r="C569" t="str">
        <f>VLOOKUP(A569,Datos!$A$2:$H$1084,4,FALSE)</f>
        <v>0.00</v>
      </c>
      <c r="D569" t="str">
        <f>VLOOKUP(A569,Datos!$A$2:$H$1084,5,FALSE)</f>
        <v>0.39</v>
      </c>
      <c r="E569" t="str">
        <f>VLOOKUP(A569,Datos!$A$2:$H$1084,6,FALSE)</f>
        <v>2.96</v>
      </c>
      <c r="F569" t="str">
        <f>VLOOKUP(A569,Datos!$A$2:$H$1084,7,FALSE)</f>
        <v>0.00</v>
      </c>
      <c r="G569" t="str">
        <f>VLOOKUP(A569,Datos!$A$2:$H$1084,8,FALSE)</f>
        <v>0.02</v>
      </c>
    </row>
    <row r="570" spans="1:7" x14ac:dyDescent="0.3">
      <c r="A570" s="1">
        <v>44669</v>
      </c>
      <c r="B570" t="str">
        <f>VLOOKUP(A570,Datos!$A$2:$H$1084,3,FALSE)</f>
        <v>61.04</v>
      </c>
      <c r="C570" t="str">
        <f>VLOOKUP(A570,Datos!$A$2:$H$1084,4,FALSE)</f>
        <v>0.00</v>
      </c>
      <c r="D570" t="str">
        <f>VLOOKUP(A570,Datos!$A$2:$H$1084,5,FALSE)</f>
        <v>0.15</v>
      </c>
      <c r="E570" t="str">
        <f>VLOOKUP(A570,Datos!$A$2:$H$1084,6,FALSE)</f>
        <v>22.13</v>
      </c>
      <c r="F570" t="str">
        <f>VLOOKUP(A570,Datos!$A$2:$H$1084,7,FALSE)</f>
        <v>0.00</v>
      </c>
      <c r="G570" t="str">
        <f>VLOOKUP(A570,Datos!$A$2:$H$1084,8,FALSE)</f>
        <v>0.02</v>
      </c>
    </row>
    <row r="571" spans="1:7" x14ac:dyDescent="0.3">
      <c r="A571" s="1">
        <v>489788</v>
      </c>
      <c r="B571" t="str">
        <f>VLOOKUP(A571,Datos!$A$2:$H$1084,3,FALSE)</f>
        <v>51.08</v>
      </c>
      <c r="C571" t="str">
        <f>VLOOKUP(A571,Datos!$A$2:$H$1084,4,FALSE)</f>
        <v>0.01</v>
      </c>
      <c r="D571" t="str">
        <f>VLOOKUP(A571,Datos!$A$2:$H$1084,5,FALSE)</f>
        <v>0.43</v>
      </c>
      <c r="E571" t="str">
        <f>VLOOKUP(A571,Datos!$A$2:$H$1084,6,FALSE)</f>
        <v>9.50</v>
      </c>
      <c r="F571" t="str">
        <f>VLOOKUP(A571,Datos!$A$2:$H$1084,7,FALSE)</f>
        <v>0.01</v>
      </c>
      <c r="G571" t="str">
        <f>VLOOKUP(A571,Datos!$A$2:$H$1084,8,FALSE)</f>
        <v>0.05</v>
      </c>
    </row>
    <row r="572" spans="1:7" x14ac:dyDescent="0.3">
      <c r="A572" s="1">
        <v>42397</v>
      </c>
      <c r="B572" t="str">
        <f>VLOOKUP(A572,Datos!$A$2:$H$1084,3,FALSE)</f>
        <v>48.98</v>
      </c>
      <c r="C572" t="str">
        <f>VLOOKUP(A572,Datos!$A$2:$H$1084,4,FALSE)</f>
        <v>0.00</v>
      </c>
      <c r="D572" t="str">
        <f>VLOOKUP(A572,Datos!$A$2:$H$1084,5,FALSE)</f>
        <v>0.24</v>
      </c>
      <c r="E572" t="str">
        <f>VLOOKUP(A572,Datos!$A$2:$H$1084,6,FALSE)</f>
        <v>9.63</v>
      </c>
      <c r="F572" t="str">
        <f>VLOOKUP(A572,Datos!$A$2:$H$1084,7,FALSE)</f>
        <v>0.00</v>
      </c>
      <c r="G572" t="str">
        <f>VLOOKUP(A572,Datos!$A$2:$H$1084,8,FALSE)</f>
        <v>0.04</v>
      </c>
    </row>
    <row r="573" spans="1:7" x14ac:dyDescent="0.3">
      <c r="A573" s="1">
        <v>63969</v>
      </c>
      <c r="B573" t="str">
        <f>VLOOKUP(A573,Datos!$A$2:$H$1084,3,FALSE)</f>
        <v>95.26</v>
      </c>
      <c r="C573" t="str">
        <f>VLOOKUP(A573,Datos!$A$2:$H$1084,4,FALSE)</f>
        <v>0.00</v>
      </c>
      <c r="D573" t="str">
        <f>VLOOKUP(A573,Datos!$A$2:$H$1084,5,FALSE)</f>
        <v>1.68</v>
      </c>
      <c r="E573" t="str">
        <f>VLOOKUP(A573,Datos!$A$2:$H$1084,6,FALSE)</f>
        <v>85.44</v>
      </c>
      <c r="F573" t="str">
        <f>VLOOKUP(A573,Datos!$A$2:$H$1084,7,FALSE)</f>
        <v>0.00</v>
      </c>
      <c r="G573" t="str">
        <f>VLOOKUP(A573,Datos!$A$2:$H$1084,8,FALSE)</f>
        <v>0.16</v>
      </c>
    </row>
    <row r="574" spans="1:7" x14ac:dyDescent="0.3">
      <c r="A574" s="1">
        <v>758587</v>
      </c>
      <c r="B574" t="str">
        <f>VLOOKUP(A574,Datos!$A$2:$H$1084,3,FALSE)</f>
        <v>63.20</v>
      </c>
      <c r="C574" t="str">
        <f>VLOOKUP(A574,Datos!$A$2:$H$1084,4,FALSE)</f>
        <v>0.00</v>
      </c>
      <c r="D574" t="str">
        <f>VLOOKUP(A574,Datos!$A$2:$H$1084,5,FALSE)</f>
        <v>0.58</v>
      </c>
      <c r="E574" t="str">
        <f>VLOOKUP(A574,Datos!$A$2:$H$1084,6,FALSE)</f>
        <v>11.12</v>
      </c>
      <c r="F574" t="str">
        <f>VLOOKUP(A574,Datos!$A$2:$H$1084,7,FALSE)</f>
        <v>0.00</v>
      </c>
      <c r="G574" t="str">
        <f>VLOOKUP(A574,Datos!$A$2:$H$1084,8,FALSE)</f>
        <v>0.07</v>
      </c>
    </row>
    <row r="575" spans="1:7" x14ac:dyDescent="0.3">
      <c r="A575" s="1">
        <v>55592</v>
      </c>
      <c r="B575" t="str">
        <f>VLOOKUP(A575,Datos!$A$2:$H$1084,3,FALSE)</f>
        <v>98.85</v>
      </c>
      <c r="C575" t="str">
        <f>VLOOKUP(A575,Datos!$A$2:$H$1084,4,FALSE)</f>
        <v>0.00</v>
      </c>
      <c r="D575" t="str">
        <f>VLOOKUP(A575,Datos!$A$2:$H$1084,5,FALSE)</f>
        <v>0.83</v>
      </c>
      <c r="E575" t="str">
        <f>VLOOKUP(A575,Datos!$A$2:$H$1084,6,FALSE)</f>
        <v>11.11</v>
      </c>
      <c r="F575" t="str">
        <f>VLOOKUP(A575,Datos!$A$2:$H$1084,7,FALSE)</f>
        <v>0.00</v>
      </c>
      <c r="G575" t="str">
        <f>VLOOKUP(A575,Datos!$A$2:$H$1084,8,FALSE)</f>
        <v>0.11</v>
      </c>
    </row>
    <row r="576" spans="1:7" x14ac:dyDescent="0.3">
      <c r="A576" s="1">
        <v>150810</v>
      </c>
      <c r="B576" t="str">
        <f>VLOOKUP(A576,Datos!$A$2:$H$1084,3,FALSE)</f>
        <v>128.11</v>
      </c>
      <c r="C576" t="str">
        <f>VLOOKUP(A576,Datos!$A$2:$H$1084,4,FALSE)</f>
        <v>0.00</v>
      </c>
      <c r="D576" t="str">
        <f>VLOOKUP(A576,Datos!$A$2:$H$1084,5,FALSE)</f>
        <v>0.46</v>
      </c>
      <c r="E576" t="str">
        <f>VLOOKUP(A576,Datos!$A$2:$H$1084,6,FALSE)</f>
        <v>7.44</v>
      </c>
      <c r="F576" t="str">
        <f>VLOOKUP(A576,Datos!$A$2:$H$1084,7,FALSE)</f>
        <v>0.00</v>
      </c>
      <c r="G576" t="str">
        <f>VLOOKUP(A576,Datos!$A$2:$H$1084,8,FALSE)</f>
        <v>0.01</v>
      </c>
    </row>
    <row r="577" spans="1:7" x14ac:dyDescent="0.3">
      <c r="A577" s="1">
        <v>155643</v>
      </c>
      <c r="B577" t="str">
        <f>VLOOKUP(A577,Datos!$A$2:$H$1084,3,FALSE)</f>
        <v>48.26</v>
      </c>
      <c r="C577" t="str">
        <f>VLOOKUP(A577,Datos!$A$2:$H$1084,4,FALSE)</f>
        <v>0.00</v>
      </c>
      <c r="D577" t="str">
        <f>VLOOKUP(A577,Datos!$A$2:$H$1084,5,FALSE)</f>
        <v>0.21</v>
      </c>
      <c r="E577" t="str">
        <f>VLOOKUP(A577,Datos!$A$2:$H$1084,6,FALSE)</f>
        <v>1.96</v>
      </c>
      <c r="F577" t="str">
        <f>VLOOKUP(A577,Datos!$A$2:$H$1084,7,FALSE)</f>
        <v>0.00</v>
      </c>
      <c r="G577" t="str">
        <f>VLOOKUP(A577,Datos!$A$2:$H$1084,8,FALSE)</f>
        <v>0.02</v>
      </c>
    </row>
    <row r="578" spans="1:7" x14ac:dyDescent="0.3">
      <c r="A578" s="1">
        <v>52466</v>
      </c>
      <c r="B578" t="str">
        <f>VLOOKUP(A578,Datos!$A$2:$H$1084,3,FALSE)</f>
        <v>49.64</v>
      </c>
      <c r="C578" t="str">
        <f>VLOOKUP(A578,Datos!$A$2:$H$1084,4,FALSE)</f>
        <v>0.00</v>
      </c>
      <c r="D578" t="str">
        <f>VLOOKUP(A578,Datos!$A$2:$H$1084,5,FALSE)</f>
        <v>0.28</v>
      </c>
      <c r="E578" t="str">
        <f>VLOOKUP(A578,Datos!$A$2:$H$1084,6,FALSE)</f>
        <v>23.55</v>
      </c>
      <c r="F578" t="str">
        <f>VLOOKUP(A578,Datos!$A$2:$H$1084,7,FALSE)</f>
        <v>0.00</v>
      </c>
      <c r="G578" t="str">
        <f>VLOOKUP(A578,Datos!$A$2:$H$1084,8,FALSE)</f>
        <v>0.04</v>
      </c>
    </row>
    <row r="579" spans="1:7" x14ac:dyDescent="0.3">
      <c r="A579" s="1">
        <v>42608</v>
      </c>
      <c r="B579" t="str">
        <f>VLOOKUP(A579,Datos!$A$2:$H$1084,3,FALSE)</f>
        <v>32.65</v>
      </c>
      <c r="C579" t="str">
        <f>VLOOKUP(A579,Datos!$A$2:$H$1084,4,FALSE)</f>
        <v>0.00</v>
      </c>
      <c r="D579" t="str">
        <f>VLOOKUP(A579,Datos!$A$2:$H$1084,5,FALSE)</f>
        <v>0.56</v>
      </c>
      <c r="E579" t="str">
        <f>VLOOKUP(A579,Datos!$A$2:$H$1084,6,FALSE)</f>
        <v>15.20</v>
      </c>
      <c r="F579" t="str">
        <f>VLOOKUP(A579,Datos!$A$2:$H$1084,7,FALSE)</f>
        <v>0.00</v>
      </c>
      <c r="G579" t="str">
        <f>VLOOKUP(A579,Datos!$A$2:$H$1084,8,FALSE)</f>
        <v>0.06</v>
      </c>
    </row>
    <row r="580" spans="1:7" x14ac:dyDescent="0.3">
      <c r="A580" s="1">
        <v>810585</v>
      </c>
      <c r="B580" t="str">
        <f>VLOOKUP(A580,Datos!$A$2:$H$1084,3,FALSE)</f>
        <v>29.88</v>
      </c>
      <c r="C580" t="str">
        <f>VLOOKUP(A580,Datos!$A$2:$H$1084,4,FALSE)</f>
        <v>0.00</v>
      </c>
      <c r="D580" t="str">
        <f>VLOOKUP(A580,Datos!$A$2:$H$1084,5,FALSE)</f>
        <v>0.02</v>
      </c>
      <c r="E580" t="str">
        <f>VLOOKUP(A580,Datos!$A$2:$H$1084,6,FALSE)</f>
        <v>1.35</v>
      </c>
      <c r="F580" t="str">
        <f>VLOOKUP(A580,Datos!$A$2:$H$1084,7,FALSE)</f>
        <v>0.00</v>
      </c>
      <c r="G580" t="str">
        <f>VLOOKUP(A580,Datos!$A$2:$H$1084,8,FALSE)</f>
        <v>0.01</v>
      </c>
    </row>
    <row r="581" spans="1:7" x14ac:dyDescent="0.3">
      <c r="A581" s="1">
        <v>169777</v>
      </c>
      <c r="B581" t="str">
        <f>VLOOKUP(A581,Datos!$A$2:$H$1084,3,FALSE)</f>
        <v>131.39</v>
      </c>
      <c r="C581" t="str">
        <f>VLOOKUP(A581,Datos!$A$2:$H$1084,4,FALSE)</f>
        <v>0.00</v>
      </c>
      <c r="D581" t="str">
        <f>VLOOKUP(A581,Datos!$A$2:$H$1084,5,FALSE)</f>
        <v>1.12</v>
      </c>
      <c r="E581" t="str">
        <f>VLOOKUP(A581,Datos!$A$2:$H$1084,6,FALSE)</f>
        <v>39.64</v>
      </c>
      <c r="F581" t="str">
        <f>VLOOKUP(A581,Datos!$A$2:$H$1084,7,FALSE)</f>
        <v>0.00</v>
      </c>
      <c r="G581" t="str">
        <f>VLOOKUP(A581,Datos!$A$2:$H$1084,8,FALSE)</f>
        <v>0.11</v>
      </c>
    </row>
    <row r="582" spans="1:7" x14ac:dyDescent="0.3">
      <c r="A582" s="1">
        <v>171049</v>
      </c>
      <c r="B582" t="str">
        <f>VLOOKUP(A582,Datos!$A$2:$H$1084,3,FALSE)</f>
        <v>40.30</v>
      </c>
      <c r="C582" t="str">
        <f>VLOOKUP(A582,Datos!$A$2:$H$1084,4,FALSE)</f>
        <v>0.00</v>
      </c>
      <c r="D582" t="str">
        <f>VLOOKUP(A582,Datos!$A$2:$H$1084,5,FALSE)</f>
        <v>0.21</v>
      </c>
      <c r="E582" t="str">
        <f>VLOOKUP(A582,Datos!$A$2:$H$1084,6,FALSE)</f>
        <v>40.19</v>
      </c>
      <c r="F582" t="str">
        <f>VLOOKUP(A582,Datos!$A$2:$H$1084,7,FALSE)</f>
        <v>0.00</v>
      </c>
      <c r="G582" t="str">
        <f>VLOOKUP(A582,Datos!$A$2:$H$1084,8,FALSE)</f>
        <v>0.08</v>
      </c>
    </row>
    <row r="583" spans="1:7" x14ac:dyDescent="0.3">
      <c r="A583" s="1">
        <v>169744</v>
      </c>
      <c r="B583" t="str">
        <f>VLOOKUP(A583,Datos!$A$2:$H$1084,3,FALSE)</f>
        <v>49.36</v>
      </c>
      <c r="C583" t="str">
        <f>VLOOKUP(A583,Datos!$A$2:$H$1084,4,FALSE)</f>
        <v>0.00</v>
      </c>
      <c r="D583" t="str">
        <f>VLOOKUP(A583,Datos!$A$2:$H$1084,5,FALSE)</f>
        <v>0.04</v>
      </c>
      <c r="E583" t="str">
        <f>VLOOKUP(A583,Datos!$A$2:$H$1084,6,FALSE)</f>
        <v>15.70</v>
      </c>
      <c r="F583" t="str">
        <f>VLOOKUP(A583,Datos!$A$2:$H$1084,7,FALSE)</f>
        <v>0.00</v>
      </c>
      <c r="G583" t="str">
        <f>VLOOKUP(A583,Datos!$A$2:$H$1084,8,FALSE)</f>
        <v>0.01</v>
      </c>
    </row>
    <row r="584" spans="1:7" x14ac:dyDescent="0.3">
      <c r="A584" s="1">
        <v>168004</v>
      </c>
      <c r="B584" t="str">
        <f>VLOOKUP(A584,Datos!$A$2:$H$1084,3,FALSE)</f>
        <v>21.89</v>
      </c>
      <c r="C584" t="str">
        <f>VLOOKUP(A584,Datos!$A$2:$H$1084,4,FALSE)</f>
        <v>0.00</v>
      </c>
      <c r="D584" t="str">
        <f>VLOOKUP(A584,Datos!$A$2:$H$1084,5,FALSE)</f>
        <v>0.06</v>
      </c>
      <c r="E584" t="str">
        <f>VLOOKUP(A584,Datos!$A$2:$H$1084,6,FALSE)</f>
        <v>3.04</v>
      </c>
      <c r="F584" t="str">
        <f>VLOOKUP(A584,Datos!$A$2:$H$1084,7,FALSE)</f>
        <v>0.00</v>
      </c>
      <c r="G584" t="str">
        <f>VLOOKUP(A584,Datos!$A$2:$H$1084,8,FALSE)</f>
        <v>0.01</v>
      </c>
    </row>
    <row r="585" spans="1:7" x14ac:dyDescent="0.3">
      <c r="A585" s="1">
        <v>154988</v>
      </c>
      <c r="B585" t="str">
        <f>VLOOKUP(A585,Datos!$A$2:$H$1084,3,FALSE)</f>
        <v>101.89</v>
      </c>
      <c r="C585" t="str">
        <f>VLOOKUP(A585,Datos!$A$2:$H$1084,4,FALSE)</f>
        <v>0.00</v>
      </c>
      <c r="D585" t="str">
        <f>VLOOKUP(A585,Datos!$A$2:$H$1084,5,FALSE)</f>
        <v>2.03</v>
      </c>
      <c r="E585" t="str">
        <f>VLOOKUP(A585,Datos!$A$2:$H$1084,6,FALSE)</f>
        <v>16.49</v>
      </c>
      <c r="F585" t="str">
        <f>VLOOKUP(A585,Datos!$A$2:$H$1084,7,FALSE)</f>
        <v>0.00</v>
      </c>
      <c r="G585" t="str">
        <f>VLOOKUP(A585,Datos!$A$2:$H$1084,8,FALSE)</f>
        <v>0.09</v>
      </c>
    </row>
    <row r="586" spans="1:7" x14ac:dyDescent="0.3">
      <c r="A586" s="1">
        <v>446869</v>
      </c>
      <c r="B586" t="str">
        <f>VLOOKUP(A586,Datos!$A$2:$H$1084,3,FALSE)</f>
        <v>92.43</v>
      </c>
      <c r="C586" t="str">
        <f>VLOOKUP(A586,Datos!$A$2:$H$1084,4,FALSE)</f>
        <v>0.00</v>
      </c>
      <c r="D586" t="str">
        <f>VLOOKUP(A586,Datos!$A$2:$H$1084,5,FALSE)</f>
        <v>1.47</v>
      </c>
      <c r="E586" t="str">
        <f>VLOOKUP(A586,Datos!$A$2:$H$1084,6,FALSE)</f>
        <v>10.24</v>
      </c>
      <c r="F586" t="str">
        <f>VLOOKUP(A586,Datos!$A$2:$H$1084,7,FALSE)</f>
        <v>0.00</v>
      </c>
      <c r="G586" t="str">
        <f>VLOOKUP(A586,Datos!$A$2:$H$1084,8,FALSE)</f>
        <v>0.10</v>
      </c>
    </row>
    <row r="587" spans="1:7" x14ac:dyDescent="0.3">
      <c r="A587" s="1">
        <v>155092</v>
      </c>
      <c r="B587" t="str">
        <f>VLOOKUP(A587,Datos!$A$2:$H$1084,3,FALSE)</f>
        <v>96.61</v>
      </c>
      <c r="C587" t="str">
        <f>VLOOKUP(A587,Datos!$A$2:$H$1084,4,FALSE)</f>
        <v>0.01</v>
      </c>
      <c r="D587" t="str">
        <f>VLOOKUP(A587,Datos!$A$2:$H$1084,5,FALSE)</f>
        <v>3.75</v>
      </c>
      <c r="E587" t="str">
        <f>VLOOKUP(A587,Datos!$A$2:$H$1084,6,FALSE)</f>
        <v>28.89</v>
      </c>
      <c r="F587" t="str">
        <f>VLOOKUP(A587,Datos!$A$2:$H$1084,7,FALSE)</f>
        <v>0.00</v>
      </c>
      <c r="G587" t="str">
        <f>VLOOKUP(A587,Datos!$A$2:$H$1084,8,FALSE)</f>
        <v>0.05</v>
      </c>
    </row>
    <row r="588" spans="1:7" x14ac:dyDescent="0.3">
      <c r="A588" s="1">
        <v>487633</v>
      </c>
      <c r="B588" t="str">
        <f>VLOOKUP(A588,Datos!$A$2:$H$1084,3,FALSE)</f>
        <v>31.43</v>
      </c>
      <c r="C588" t="str">
        <f>VLOOKUP(A588,Datos!$A$2:$H$1084,4,FALSE)</f>
        <v>0.00</v>
      </c>
      <c r="D588" t="str">
        <f>VLOOKUP(A588,Datos!$A$2:$H$1084,5,FALSE)</f>
        <v>0.03</v>
      </c>
      <c r="E588" t="str">
        <f>VLOOKUP(A588,Datos!$A$2:$H$1084,6,FALSE)</f>
        <v>1.11</v>
      </c>
      <c r="F588" t="str">
        <f>VLOOKUP(A588,Datos!$A$2:$H$1084,7,FALSE)</f>
        <v>0.00</v>
      </c>
      <c r="G588" t="str">
        <f>VLOOKUP(A588,Datos!$A$2:$H$1084,8,FALSE)</f>
        <v>0.01</v>
      </c>
    </row>
    <row r="589" spans="1:7" x14ac:dyDescent="0.3">
      <c r="A589" s="1">
        <v>72756</v>
      </c>
      <c r="B589" t="str">
        <f>VLOOKUP(A589,Datos!$A$2:$H$1084,3,FALSE)</f>
        <v>34.23</v>
      </c>
      <c r="C589" t="str">
        <f>VLOOKUP(A589,Datos!$A$2:$H$1084,4,FALSE)</f>
        <v>0.00</v>
      </c>
      <c r="D589" t="str">
        <f>VLOOKUP(A589,Datos!$A$2:$H$1084,5,FALSE)</f>
        <v>0.09</v>
      </c>
      <c r="E589" t="str">
        <f>VLOOKUP(A589,Datos!$A$2:$H$1084,6,FALSE)</f>
        <v>4.87</v>
      </c>
      <c r="F589" t="str">
        <f>VLOOKUP(A589,Datos!$A$2:$H$1084,7,FALSE)</f>
        <v>0.00</v>
      </c>
      <c r="G589" t="str">
        <f>VLOOKUP(A589,Datos!$A$2:$H$1084,8,FALSE)</f>
        <v>0.01</v>
      </c>
    </row>
    <row r="590" spans="1:7" x14ac:dyDescent="0.3">
      <c r="A590" s="1">
        <v>808441</v>
      </c>
      <c r="B590" t="str">
        <f>VLOOKUP(A590,Datos!$A$2:$H$1084,3,FALSE)</f>
        <v>1.28</v>
      </c>
      <c r="C590" t="str">
        <f>VLOOKUP(A590,Datos!$A$2:$H$1084,4,FALSE)</f>
        <v>0.00</v>
      </c>
      <c r="D590" t="str">
        <f>VLOOKUP(A590,Datos!$A$2:$H$1084,5,FALSE)</f>
        <v>0.01</v>
      </c>
      <c r="E590" t="str">
        <f>VLOOKUP(A590,Datos!$A$2:$H$1084,6,FALSE)</f>
        <v>0.09</v>
      </c>
      <c r="F590" t="str">
        <f>VLOOKUP(A590,Datos!$A$2:$H$1084,7,FALSE)</f>
        <v>0.01</v>
      </c>
      <c r="G590" t="str">
        <f>VLOOKUP(A590,Datos!$A$2:$H$1084,8,FALSE)</f>
        <v>0.01</v>
      </c>
    </row>
    <row r="591" spans="1:7" x14ac:dyDescent="0.3">
      <c r="A591" s="1">
        <v>458838</v>
      </c>
      <c r="B591" t="str">
        <f>VLOOKUP(A591,Datos!$A$2:$H$1084,3,FALSE)</f>
        <v>70.20</v>
      </c>
      <c r="C591" t="str">
        <f>VLOOKUP(A591,Datos!$A$2:$H$1084,4,FALSE)</f>
        <v>0.01</v>
      </c>
      <c r="D591" t="str">
        <f>VLOOKUP(A591,Datos!$A$2:$H$1084,5,FALSE)</f>
        <v>0.07</v>
      </c>
      <c r="E591" t="str">
        <f>VLOOKUP(A591,Datos!$A$2:$H$1084,6,FALSE)</f>
        <v>11.65</v>
      </c>
      <c r="F591" t="str">
        <f>VLOOKUP(A591,Datos!$A$2:$H$1084,7,FALSE)</f>
        <v>0.01</v>
      </c>
      <c r="G591" t="str">
        <f>VLOOKUP(A591,Datos!$A$2:$H$1084,8,FALSE)</f>
        <v>0.02</v>
      </c>
    </row>
    <row r="592" spans="1:7" x14ac:dyDescent="0.3">
      <c r="A592" s="1">
        <v>55610</v>
      </c>
      <c r="B592" t="str">
        <f>VLOOKUP(A592,Datos!$A$2:$H$1084,3,FALSE)</f>
        <v>91.90</v>
      </c>
      <c r="C592" t="str">
        <f>VLOOKUP(A592,Datos!$A$2:$H$1084,4,FALSE)</f>
        <v>0.00</v>
      </c>
      <c r="D592" t="str">
        <f>VLOOKUP(A592,Datos!$A$2:$H$1084,5,FALSE)</f>
        <v>0.32</v>
      </c>
      <c r="E592" t="str">
        <f>VLOOKUP(A592,Datos!$A$2:$H$1084,6,FALSE)</f>
        <v>21.35</v>
      </c>
      <c r="F592" t="str">
        <f>VLOOKUP(A592,Datos!$A$2:$H$1084,7,FALSE)</f>
        <v>0.00</v>
      </c>
      <c r="G592" t="str">
        <f>VLOOKUP(A592,Datos!$A$2:$H$1084,8,FALSE)</f>
        <v>0.04</v>
      </c>
    </row>
    <row r="593" spans="1:7" x14ac:dyDescent="0.3">
      <c r="A593" s="1">
        <v>59482</v>
      </c>
      <c r="B593" t="str">
        <f>VLOOKUP(A593,Datos!$A$2:$H$1084,3,FALSE)</f>
        <v>33.86</v>
      </c>
      <c r="C593" t="str">
        <f>VLOOKUP(A593,Datos!$A$2:$H$1084,4,FALSE)</f>
        <v>0.00</v>
      </c>
      <c r="D593" t="str">
        <f>VLOOKUP(A593,Datos!$A$2:$H$1084,5,FALSE)</f>
        <v>0.20</v>
      </c>
      <c r="E593" t="str">
        <f>VLOOKUP(A593,Datos!$A$2:$H$1084,6,FALSE)</f>
        <v>8.92</v>
      </c>
      <c r="F593" t="str">
        <f>VLOOKUP(A593,Datos!$A$2:$H$1084,7,FALSE)</f>
        <v>0.00</v>
      </c>
      <c r="G593" t="str">
        <f>VLOOKUP(A593,Datos!$A$2:$H$1084,8,FALSE)</f>
        <v>0.03</v>
      </c>
    </row>
    <row r="594" spans="1:7" x14ac:dyDescent="0.3">
      <c r="A594" s="1">
        <v>170182</v>
      </c>
      <c r="B594" t="str">
        <f>VLOOKUP(A594,Datos!$A$2:$H$1084,3,FALSE)</f>
        <v>9.82</v>
      </c>
      <c r="C594" t="str">
        <f>VLOOKUP(A594,Datos!$A$2:$H$1084,4,FALSE)</f>
        <v>0.00</v>
      </c>
      <c r="D594" t="str">
        <f>VLOOKUP(A594,Datos!$A$2:$H$1084,5,FALSE)</f>
        <v>0.00</v>
      </c>
      <c r="E594" t="str">
        <f>VLOOKUP(A594,Datos!$A$2:$H$1084,6,FALSE)</f>
        <v>9.03</v>
      </c>
      <c r="F594" t="str">
        <f>VLOOKUP(A594,Datos!$A$2:$H$1084,7,FALSE)</f>
        <v>0.00</v>
      </c>
      <c r="G594" t="str">
        <f>VLOOKUP(A594,Datos!$A$2:$H$1084,8,FALSE)</f>
        <v>0.00</v>
      </c>
    </row>
    <row r="595" spans="1:7" x14ac:dyDescent="0.3">
      <c r="A595" s="1">
        <v>170747</v>
      </c>
      <c r="B595" t="str">
        <f>VLOOKUP(A595,Datos!$A$2:$H$1084,3,FALSE)</f>
        <v>95.80</v>
      </c>
      <c r="C595" t="str">
        <f>VLOOKUP(A595,Datos!$A$2:$H$1084,4,FALSE)</f>
        <v>0.00</v>
      </c>
      <c r="D595" t="str">
        <f>VLOOKUP(A595,Datos!$A$2:$H$1084,5,FALSE)</f>
        <v>2.49</v>
      </c>
      <c r="E595" t="str">
        <f>VLOOKUP(A595,Datos!$A$2:$H$1084,6,FALSE)</f>
        <v>8.79</v>
      </c>
      <c r="F595" t="str">
        <f>VLOOKUP(A595,Datos!$A$2:$H$1084,7,FALSE)</f>
        <v>0.00</v>
      </c>
      <c r="G595" t="str">
        <f>VLOOKUP(A595,Datos!$A$2:$H$1084,8,FALSE)</f>
        <v>0.07</v>
      </c>
    </row>
    <row r="596" spans="1:7" x14ac:dyDescent="0.3">
      <c r="A596" s="1">
        <v>148087</v>
      </c>
      <c r="B596" t="str">
        <f>VLOOKUP(A596,Datos!$A$2:$H$1084,3,FALSE)</f>
        <v>117.07</v>
      </c>
      <c r="C596" t="str">
        <f>VLOOKUP(A596,Datos!$A$2:$H$1084,4,FALSE)</f>
        <v>0.00</v>
      </c>
      <c r="D596" t="str">
        <f>VLOOKUP(A596,Datos!$A$2:$H$1084,5,FALSE)</f>
        <v>0.54</v>
      </c>
      <c r="E596" t="str">
        <f>VLOOKUP(A596,Datos!$A$2:$H$1084,6,FALSE)</f>
        <v>17.22</v>
      </c>
      <c r="F596" t="str">
        <f>VLOOKUP(A596,Datos!$A$2:$H$1084,7,FALSE)</f>
        <v>0.01</v>
      </c>
      <c r="G596" t="str">
        <f>VLOOKUP(A596,Datos!$A$2:$H$1084,8,FALSE)</f>
        <v>0.05</v>
      </c>
    </row>
    <row r="597" spans="1:7" x14ac:dyDescent="0.3">
      <c r="A597" s="1">
        <v>445148</v>
      </c>
      <c r="B597" t="str">
        <f>VLOOKUP(A597,Datos!$A$2:$H$1084,3,FALSE)</f>
        <v>88.12</v>
      </c>
      <c r="C597" t="str">
        <f>VLOOKUP(A597,Datos!$A$2:$H$1084,4,FALSE)</f>
        <v>0.00</v>
      </c>
      <c r="D597" t="str">
        <f>VLOOKUP(A597,Datos!$A$2:$H$1084,5,FALSE)</f>
        <v>1.62</v>
      </c>
      <c r="E597" t="str">
        <f>VLOOKUP(A597,Datos!$A$2:$H$1084,6,FALSE)</f>
        <v>4.99</v>
      </c>
      <c r="F597" t="str">
        <f>VLOOKUP(A597,Datos!$A$2:$H$1084,7,FALSE)</f>
        <v>0.00</v>
      </c>
      <c r="G597" t="str">
        <f>VLOOKUP(A597,Datos!$A$2:$H$1084,8,FALSE)</f>
        <v>0.02</v>
      </c>
    </row>
    <row r="598" spans="1:7" x14ac:dyDescent="0.3">
      <c r="A598" s="1">
        <v>64742</v>
      </c>
      <c r="B598" t="str">
        <f>VLOOKUP(A598,Datos!$A$2:$H$1084,3,FALSE)</f>
        <v>18.59</v>
      </c>
      <c r="C598" t="str">
        <f>VLOOKUP(A598,Datos!$A$2:$H$1084,4,FALSE)</f>
        <v>0.00</v>
      </c>
      <c r="D598" t="str">
        <f>VLOOKUP(A598,Datos!$A$2:$H$1084,5,FALSE)</f>
        <v>0.02</v>
      </c>
      <c r="E598" t="str">
        <f>VLOOKUP(A598,Datos!$A$2:$H$1084,6,FALSE)</f>
        <v>21.24</v>
      </c>
      <c r="F598" t="str">
        <f>VLOOKUP(A598,Datos!$A$2:$H$1084,7,FALSE)</f>
        <v>0.00</v>
      </c>
      <c r="G598" t="str">
        <f>VLOOKUP(A598,Datos!$A$2:$H$1084,8,FALSE)</f>
        <v>0.03</v>
      </c>
    </row>
    <row r="599" spans="1:7" x14ac:dyDescent="0.3">
      <c r="A599" s="1">
        <v>601073</v>
      </c>
      <c r="B599" t="str">
        <f>VLOOKUP(A599,Datos!$A$2:$H$1084,3,FALSE)</f>
        <v>44.53</v>
      </c>
      <c r="C599" t="str">
        <f>VLOOKUP(A599,Datos!$A$2:$H$1084,4,FALSE)</f>
        <v>0.00</v>
      </c>
      <c r="D599" t="str">
        <f>VLOOKUP(A599,Datos!$A$2:$H$1084,5,FALSE)</f>
        <v>0.21</v>
      </c>
      <c r="E599" t="str">
        <f>VLOOKUP(A599,Datos!$A$2:$H$1084,6,FALSE)</f>
        <v>13.38</v>
      </c>
      <c r="F599" t="str">
        <f>VLOOKUP(A599,Datos!$A$2:$H$1084,7,FALSE)</f>
        <v>0.00</v>
      </c>
      <c r="G599" t="str">
        <f>VLOOKUP(A599,Datos!$A$2:$H$1084,8,FALSE)</f>
        <v>0.02</v>
      </c>
    </row>
    <row r="600" spans="1:7" x14ac:dyDescent="0.3">
      <c r="A600" s="1">
        <v>146229</v>
      </c>
      <c r="B600" t="str">
        <f>VLOOKUP(A600,Datos!$A$2:$H$1084,3,FALSE)</f>
        <v>28.86</v>
      </c>
      <c r="C600" t="str">
        <f>VLOOKUP(A600,Datos!$A$2:$H$1084,4,FALSE)</f>
        <v>0.00</v>
      </c>
      <c r="D600" t="str">
        <f>VLOOKUP(A600,Datos!$A$2:$H$1084,5,FALSE)</f>
        <v>0.02</v>
      </c>
      <c r="E600" t="str">
        <f>VLOOKUP(A600,Datos!$A$2:$H$1084,6,FALSE)</f>
        <v>1.41</v>
      </c>
      <c r="F600" t="str">
        <f>VLOOKUP(A600,Datos!$A$2:$H$1084,7,FALSE)</f>
        <v>0.00</v>
      </c>
      <c r="G600" t="str">
        <f>VLOOKUP(A600,Datos!$A$2:$H$1084,8,FALSE)</f>
        <v>0.00</v>
      </c>
    </row>
    <row r="601" spans="1:7" x14ac:dyDescent="0.3">
      <c r="A601" s="1">
        <v>87927</v>
      </c>
      <c r="B601" t="str">
        <f>VLOOKUP(A601,Datos!$A$2:$H$1084,3,FALSE)</f>
        <v>130.01</v>
      </c>
      <c r="C601" t="str">
        <f>VLOOKUP(A601,Datos!$A$2:$H$1084,4,FALSE)</f>
        <v>0.00</v>
      </c>
      <c r="D601" t="str">
        <f>VLOOKUP(A601,Datos!$A$2:$H$1084,5,FALSE)</f>
        <v>0.98</v>
      </c>
      <c r="E601" t="str">
        <f>VLOOKUP(A601,Datos!$A$2:$H$1084,6,FALSE)</f>
        <v>27.13</v>
      </c>
      <c r="F601" t="str">
        <f>VLOOKUP(A601,Datos!$A$2:$H$1084,7,FALSE)</f>
        <v>0.00</v>
      </c>
      <c r="G601" t="str">
        <f>VLOOKUP(A601,Datos!$A$2:$H$1084,8,FALSE)</f>
        <v>0.14</v>
      </c>
    </row>
    <row r="602" spans="1:7" x14ac:dyDescent="0.3">
      <c r="A602" s="1">
        <v>67397</v>
      </c>
      <c r="B602" t="str">
        <f>VLOOKUP(A602,Datos!$A$2:$H$1084,3,FALSE)</f>
        <v>91.93</v>
      </c>
      <c r="C602" t="str">
        <f>VLOOKUP(A602,Datos!$A$2:$H$1084,4,FALSE)</f>
        <v>0.00</v>
      </c>
      <c r="D602" t="str">
        <f>VLOOKUP(A602,Datos!$A$2:$H$1084,5,FALSE)</f>
        <v>0.10</v>
      </c>
      <c r="E602" t="str">
        <f>VLOOKUP(A602,Datos!$A$2:$H$1084,6,FALSE)</f>
        <v>8.12</v>
      </c>
      <c r="F602" t="str">
        <f>VLOOKUP(A602,Datos!$A$2:$H$1084,7,FALSE)</f>
        <v>0.00</v>
      </c>
      <c r="G602" t="str">
        <f>VLOOKUP(A602,Datos!$A$2:$H$1084,8,FALSE)</f>
        <v>0.01</v>
      </c>
    </row>
    <row r="603" spans="1:7" x14ac:dyDescent="0.3">
      <c r="A603" s="1">
        <v>58005</v>
      </c>
      <c r="B603" t="str">
        <f>VLOOKUP(A603,Datos!$A$2:$H$1084,3,FALSE)</f>
        <v>36.06</v>
      </c>
      <c r="C603" t="str">
        <f>VLOOKUP(A603,Datos!$A$2:$H$1084,4,FALSE)</f>
        <v>0.00</v>
      </c>
      <c r="D603" t="str">
        <f>VLOOKUP(A603,Datos!$A$2:$H$1084,5,FALSE)</f>
        <v>0.33</v>
      </c>
      <c r="E603" t="str">
        <f>VLOOKUP(A603,Datos!$A$2:$H$1084,6,FALSE)</f>
        <v>1.93</v>
      </c>
      <c r="F603" t="str">
        <f>VLOOKUP(A603,Datos!$A$2:$H$1084,7,FALSE)</f>
        <v>0.00</v>
      </c>
      <c r="G603" t="str">
        <f>VLOOKUP(A603,Datos!$A$2:$H$1084,8,FALSE)</f>
        <v>0.03</v>
      </c>
    </row>
    <row r="604" spans="1:7" x14ac:dyDescent="0.3">
      <c r="A604" s="1">
        <v>170498</v>
      </c>
      <c r="B604" t="str">
        <f>VLOOKUP(A604,Datos!$A$2:$H$1084,3,FALSE)</f>
        <v>51.01</v>
      </c>
      <c r="C604" t="str">
        <f>VLOOKUP(A604,Datos!$A$2:$H$1084,4,FALSE)</f>
        <v>0.01</v>
      </c>
      <c r="D604" t="str">
        <f>VLOOKUP(A604,Datos!$A$2:$H$1084,5,FALSE)</f>
        <v>0.11</v>
      </c>
      <c r="E604" t="str">
        <f>VLOOKUP(A604,Datos!$A$2:$H$1084,6,FALSE)</f>
        <v>9.57</v>
      </c>
      <c r="F604" t="str">
        <f>VLOOKUP(A604,Datos!$A$2:$H$1084,7,FALSE)</f>
        <v>0.01</v>
      </c>
      <c r="G604" t="str">
        <f>VLOOKUP(A604,Datos!$A$2:$H$1084,8,FALSE)</f>
        <v>0.02</v>
      </c>
    </row>
    <row r="605" spans="1:7" x14ac:dyDescent="0.3">
      <c r="A605" s="1">
        <v>463750</v>
      </c>
      <c r="B605" t="str">
        <f>VLOOKUP(A605,Datos!$A$2:$H$1084,3,FALSE)</f>
        <v>64.21</v>
      </c>
      <c r="C605" t="str">
        <f>VLOOKUP(A605,Datos!$A$2:$H$1084,4,FALSE)</f>
        <v>0.00</v>
      </c>
      <c r="D605" t="str">
        <f>VLOOKUP(A605,Datos!$A$2:$H$1084,5,FALSE)</f>
        <v>0.16</v>
      </c>
      <c r="E605" t="str">
        <f>VLOOKUP(A605,Datos!$A$2:$H$1084,6,FALSE)</f>
        <v>30.02</v>
      </c>
      <c r="F605" t="str">
        <f>VLOOKUP(A605,Datos!$A$2:$H$1084,7,FALSE)</f>
        <v>0.00</v>
      </c>
      <c r="G605" t="str">
        <f>VLOOKUP(A605,Datos!$A$2:$H$1084,8,FALSE)</f>
        <v>0.04</v>
      </c>
    </row>
    <row r="606" spans="1:7" x14ac:dyDescent="0.3">
      <c r="A606" s="1">
        <v>442480</v>
      </c>
      <c r="B606" t="str">
        <f>VLOOKUP(A606,Datos!$A$2:$H$1084,3,FALSE)</f>
        <v>48.56</v>
      </c>
      <c r="C606" t="str">
        <f>VLOOKUP(A606,Datos!$A$2:$H$1084,4,FALSE)</f>
        <v>0.00</v>
      </c>
      <c r="D606" t="str">
        <f>VLOOKUP(A606,Datos!$A$2:$H$1084,5,FALSE)</f>
        <v>0.16</v>
      </c>
      <c r="E606" t="str">
        <f>VLOOKUP(A606,Datos!$A$2:$H$1084,6,FALSE)</f>
        <v>14.59</v>
      </c>
      <c r="F606" t="str">
        <f>VLOOKUP(A606,Datos!$A$2:$H$1084,7,FALSE)</f>
        <v>0.00</v>
      </c>
      <c r="G606" t="str">
        <f>VLOOKUP(A606,Datos!$A$2:$H$1084,8,FALSE)</f>
        <v>0.02</v>
      </c>
    </row>
    <row r="607" spans="1:7" x14ac:dyDescent="0.3">
      <c r="A607" s="1">
        <v>84368</v>
      </c>
      <c r="B607" t="str">
        <f>VLOOKUP(A607,Datos!$A$2:$H$1084,3,FALSE)</f>
        <v>55.76</v>
      </c>
      <c r="C607" t="str">
        <f>VLOOKUP(A607,Datos!$A$2:$H$1084,4,FALSE)</f>
        <v>0.00</v>
      </c>
      <c r="D607" t="str">
        <f>VLOOKUP(A607,Datos!$A$2:$H$1084,5,FALSE)</f>
        <v>0.37</v>
      </c>
      <c r="E607" t="str">
        <f>VLOOKUP(A607,Datos!$A$2:$H$1084,6,FALSE)</f>
        <v>19.52</v>
      </c>
      <c r="F607" t="str">
        <f>VLOOKUP(A607,Datos!$A$2:$H$1084,7,FALSE)</f>
        <v>0.00</v>
      </c>
      <c r="G607" t="str">
        <f>VLOOKUP(A607,Datos!$A$2:$H$1084,8,FALSE)</f>
        <v>0.04</v>
      </c>
    </row>
    <row r="608" spans="1:7" x14ac:dyDescent="0.3">
      <c r="A608" s="1">
        <v>396930</v>
      </c>
      <c r="B608" t="str">
        <f>VLOOKUP(A608,Datos!$A$2:$H$1084,3,FALSE)</f>
        <v>97.69</v>
      </c>
      <c r="C608" t="str">
        <f>VLOOKUP(A608,Datos!$A$2:$H$1084,4,FALSE)</f>
        <v>0.00</v>
      </c>
      <c r="D608" t="str">
        <f>VLOOKUP(A608,Datos!$A$2:$H$1084,5,FALSE)</f>
        <v>0.36</v>
      </c>
      <c r="E608" t="str">
        <f>VLOOKUP(A608,Datos!$A$2:$H$1084,6,FALSE)</f>
        <v>4.90</v>
      </c>
      <c r="F608" t="str">
        <f>VLOOKUP(A608,Datos!$A$2:$H$1084,7,FALSE)</f>
        <v>0.00</v>
      </c>
      <c r="G608" t="str">
        <f>VLOOKUP(A608,Datos!$A$2:$H$1084,8,FALSE)</f>
        <v>0.02</v>
      </c>
    </row>
    <row r="609" spans="1:7" x14ac:dyDescent="0.3">
      <c r="A609" s="1">
        <v>146272</v>
      </c>
      <c r="B609" t="str">
        <f>VLOOKUP(A609,Datos!$A$2:$H$1084,3,FALSE)</f>
        <v>89.63</v>
      </c>
      <c r="C609" t="str">
        <f>VLOOKUP(A609,Datos!$A$2:$H$1084,4,FALSE)</f>
        <v>0.00</v>
      </c>
      <c r="D609" t="str">
        <f>VLOOKUP(A609,Datos!$A$2:$H$1084,5,FALSE)</f>
        <v>0.10</v>
      </c>
      <c r="E609" t="str">
        <f>VLOOKUP(A609,Datos!$A$2:$H$1084,6,FALSE)</f>
        <v>16.69</v>
      </c>
      <c r="F609" t="str">
        <f>VLOOKUP(A609,Datos!$A$2:$H$1084,7,FALSE)</f>
        <v>0.00</v>
      </c>
      <c r="G609" t="str">
        <f>VLOOKUP(A609,Datos!$A$2:$H$1084,8,FALSE)</f>
        <v>0.01</v>
      </c>
    </row>
    <row r="610" spans="1:7" x14ac:dyDescent="0.3">
      <c r="A610" s="1">
        <v>152786</v>
      </c>
      <c r="B610" t="str">
        <f>VLOOKUP(A610,Datos!$A$2:$H$1084,3,FALSE)</f>
        <v>89.51</v>
      </c>
      <c r="C610" t="str">
        <f>VLOOKUP(A610,Datos!$A$2:$H$1084,4,FALSE)</f>
        <v>0.00</v>
      </c>
      <c r="D610" t="str">
        <f>VLOOKUP(A610,Datos!$A$2:$H$1084,5,FALSE)</f>
        <v>1.30</v>
      </c>
      <c r="E610" t="str">
        <f>VLOOKUP(A610,Datos!$A$2:$H$1084,6,FALSE)</f>
        <v>35.98</v>
      </c>
      <c r="F610" t="str">
        <f>VLOOKUP(A610,Datos!$A$2:$H$1084,7,FALSE)</f>
        <v>0.00</v>
      </c>
      <c r="G610" t="str">
        <f>VLOOKUP(A610,Datos!$A$2:$H$1084,8,FALSE)</f>
        <v>0.13</v>
      </c>
    </row>
    <row r="611" spans="1:7" x14ac:dyDescent="0.3">
      <c r="A611" s="1">
        <v>561675</v>
      </c>
      <c r="B611" t="str">
        <f>VLOOKUP(A611,Datos!$A$2:$H$1084,3,FALSE)</f>
        <v>48.08</v>
      </c>
      <c r="C611" t="str">
        <f>VLOOKUP(A611,Datos!$A$2:$H$1084,4,FALSE)</f>
        <v>0.00</v>
      </c>
      <c r="D611" t="str">
        <f>VLOOKUP(A611,Datos!$A$2:$H$1084,5,FALSE)</f>
        <v>0.11</v>
      </c>
      <c r="E611" t="str">
        <f>VLOOKUP(A611,Datos!$A$2:$H$1084,6,FALSE)</f>
        <v>7.30</v>
      </c>
      <c r="F611" t="str">
        <f>VLOOKUP(A611,Datos!$A$2:$H$1084,7,FALSE)</f>
        <v>0.00</v>
      </c>
      <c r="G611" t="str">
        <f>VLOOKUP(A611,Datos!$A$2:$H$1084,8,FALSE)</f>
        <v>0.02</v>
      </c>
    </row>
    <row r="612" spans="1:7" x14ac:dyDescent="0.3">
      <c r="A612" s="1">
        <v>794415</v>
      </c>
      <c r="B612" t="str">
        <f>VLOOKUP(A612,Datos!$A$2:$H$1084,3,FALSE)</f>
        <v>44.24</v>
      </c>
      <c r="C612" t="str">
        <f>VLOOKUP(A612,Datos!$A$2:$H$1084,4,FALSE)</f>
        <v>0.00</v>
      </c>
      <c r="D612" t="str">
        <f>VLOOKUP(A612,Datos!$A$2:$H$1084,5,FALSE)</f>
        <v>0.10</v>
      </c>
      <c r="E612" t="str">
        <f>VLOOKUP(A612,Datos!$A$2:$H$1084,6,FALSE)</f>
        <v>1.51</v>
      </c>
      <c r="F612" t="str">
        <f>VLOOKUP(A612,Datos!$A$2:$H$1084,7,FALSE)</f>
        <v>0.00</v>
      </c>
      <c r="G612" t="str">
        <f>VLOOKUP(A612,Datos!$A$2:$H$1084,8,FALSE)</f>
        <v>0.02</v>
      </c>
    </row>
    <row r="613" spans="1:7" x14ac:dyDescent="0.3">
      <c r="A613" s="1">
        <v>460558</v>
      </c>
      <c r="B613" t="str">
        <f>VLOOKUP(A613,Datos!$A$2:$H$1084,3,FALSE)</f>
        <v>35.99</v>
      </c>
      <c r="C613" t="str">
        <f>VLOOKUP(A613,Datos!$A$2:$H$1084,4,FALSE)</f>
        <v>0.00</v>
      </c>
      <c r="D613" t="str">
        <f>VLOOKUP(A613,Datos!$A$2:$H$1084,5,FALSE)</f>
        <v>0.05</v>
      </c>
      <c r="E613" t="str">
        <f>VLOOKUP(A613,Datos!$A$2:$H$1084,6,FALSE)</f>
        <v>15.78</v>
      </c>
      <c r="F613" t="str">
        <f>VLOOKUP(A613,Datos!$A$2:$H$1084,7,FALSE)</f>
        <v>0.00</v>
      </c>
      <c r="G613" t="str">
        <f>VLOOKUP(A613,Datos!$A$2:$H$1084,8,FALSE)</f>
        <v>0.01</v>
      </c>
    </row>
    <row r="614" spans="1:7" x14ac:dyDescent="0.3">
      <c r="A614" s="1">
        <v>155172</v>
      </c>
      <c r="B614" t="str">
        <f>VLOOKUP(A614,Datos!$A$2:$H$1084,3,FALSE)</f>
        <v>49.17</v>
      </c>
      <c r="C614" t="str">
        <f>VLOOKUP(A614,Datos!$A$2:$H$1084,4,FALSE)</f>
        <v>0.00</v>
      </c>
      <c r="D614" t="str">
        <f>VLOOKUP(A614,Datos!$A$2:$H$1084,5,FALSE)</f>
        <v>0.33</v>
      </c>
      <c r="E614" t="str">
        <f>VLOOKUP(A614,Datos!$A$2:$H$1084,6,FALSE)</f>
        <v>20.95</v>
      </c>
      <c r="F614" t="str">
        <f>VLOOKUP(A614,Datos!$A$2:$H$1084,7,FALSE)</f>
        <v>0.00</v>
      </c>
      <c r="G614" t="str">
        <f>VLOOKUP(A614,Datos!$A$2:$H$1084,8,FALSE)</f>
        <v>0.03</v>
      </c>
    </row>
    <row r="615" spans="1:7" x14ac:dyDescent="0.3">
      <c r="A615" s="1">
        <v>79395</v>
      </c>
      <c r="B615" t="str">
        <f>VLOOKUP(A615,Datos!$A$2:$H$1084,3,FALSE)</f>
        <v>71.46</v>
      </c>
      <c r="C615" t="str">
        <f>VLOOKUP(A615,Datos!$A$2:$H$1084,4,FALSE)</f>
        <v>0.00</v>
      </c>
      <c r="D615" t="str">
        <f>VLOOKUP(A615,Datos!$A$2:$H$1084,5,FALSE)</f>
        <v>0.32</v>
      </c>
      <c r="E615" t="str">
        <f>VLOOKUP(A615,Datos!$A$2:$H$1084,6,FALSE)</f>
        <v>26.09</v>
      </c>
      <c r="F615" t="str">
        <f>VLOOKUP(A615,Datos!$A$2:$H$1084,7,FALSE)</f>
        <v>0.00</v>
      </c>
      <c r="G615" t="str">
        <f>VLOOKUP(A615,Datos!$A$2:$H$1084,8,FALSE)</f>
        <v>0.05</v>
      </c>
    </row>
    <row r="616" spans="1:7" x14ac:dyDescent="0.3">
      <c r="A616" s="1">
        <v>147988</v>
      </c>
      <c r="B616" t="str">
        <f>VLOOKUP(A616,Datos!$A$2:$H$1084,3,FALSE)</f>
        <v>32.54</v>
      </c>
      <c r="C616" t="str">
        <f>VLOOKUP(A616,Datos!$A$2:$H$1084,4,FALSE)</f>
        <v>0.01</v>
      </c>
      <c r="D616" t="str">
        <f>VLOOKUP(A616,Datos!$A$2:$H$1084,5,FALSE)</f>
        <v>0.28</v>
      </c>
      <c r="E616" t="str">
        <f>VLOOKUP(A616,Datos!$A$2:$H$1084,6,FALSE)</f>
        <v>10.90</v>
      </c>
      <c r="F616" t="str">
        <f>VLOOKUP(A616,Datos!$A$2:$H$1084,7,FALSE)</f>
        <v>0.01</v>
      </c>
      <c r="G616" t="str">
        <f>VLOOKUP(A616,Datos!$A$2:$H$1084,8,FALSE)</f>
        <v>0.05</v>
      </c>
    </row>
    <row r="617" spans="1:7" x14ac:dyDescent="0.3">
      <c r="A617" s="1">
        <v>456486</v>
      </c>
      <c r="B617" t="str">
        <f>VLOOKUP(A617,Datos!$A$2:$H$1084,3,FALSE)</f>
        <v>88.23</v>
      </c>
      <c r="C617" t="str">
        <f>VLOOKUP(A617,Datos!$A$2:$H$1084,4,FALSE)</f>
        <v>0.00</v>
      </c>
      <c r="D617" t="str">
        <f>VLOOKUP(A617,Datos!$A$2:$H$1084,5,FALSE)</f>
        <v>1.60</v>
      </c>
      <c r="E617" t="str">
        <f>VLOOKUP(A617,Datos!$A$2:$H$1084,6,FALSE)</f>
        <v>3.63</v>
      </c>
      <c r="F617" t="str">
        <f>VLOOKUP(A617,Datos!$A$2:$H$1084,7,FALSE)</f>
        <v>0.00</v>
      </c>
      <c r="G617" t="str">
        <f>VLOOKUP(A617,Datos!$A$2:$H$1084,8,FALSE)</f>
        <v>0.01</v>
      </c>
    </row>
    <row r="618" spans="1:7" x14ac:dyDescent="0.3">
      <c r="A618" s="1">
        <v>150513</v>
      </c>
      <c r="B618" t="str">
        <f>VLOOKUP(A618,Datos!$A$2:$H$1084,3,FALSE)</f>
        <v>72.24</v>
      </c>
      <c r="C618" t="str">
        <f>VLOOKUP(A618,Datos!$A$2:$H$1084,4,FALSE)</f>
        <v>0.00</v>
      </c>
      <c r="D618" t="str">
        <f>VLOOKUP(A618,Datos!$A$2:$H$1084,5,FALSE)</f>
        <v>0.68</v>
      </c>
      <c r="E618" t="str">
        <f>VLOOKUP(A618,Datos!$A$2:$H$1084,6,FALSE)</f>
        <v>8.34</v>
      </c>
      <c r="F618" t="str">
        <f>VLOOKUP(A618,Datos!$A$2:$H$1084,7,FALSE)</f>
        <v>0.00</v>
      </c>
      <c r="G618" t="str">
        <f>VLOOKUP(A618,Datos!$A$2:$H$1084,8,FALSE)</f>
        <v>0.04</v>
      </c>
    </row>
    <row r="619" spans="1:7" x14ac:dyDescent="0.3">
      <c r="A619" s="1">
        <v>527196</v>
      </c>
      <c r="B619" t="str">
        <f>VLOOKUP(A619,Datos!$A$2:$H$1084,3,FALSE)</f>
        <v>130.17</v>
      </c>
      <c r="C619" t="str">
        <f>VLOOKUP(A619,Datos!$A$2:$H$1084,4,FALSE)</f>
        <v>0.00</v>
      </c>
      <c r="D619" t="str">
        <f>VLOOKUP(A619,Datos!$A$2:$H$1084,5,FALSE)</f>
        <v>2.41</v>
      </c>
      <c r="E619" t="str">
        <f>VLOOKUP(A619,Datos!$A$2:$H$1084,6,FALSE)</f>
        <v>6.73</v>
      </c>
      <c r="F619" t="str">
        <f>VLOOKUP(A619,Datos!$A$2:$H$1084,7,FALSE)</f>
        <v>0.00</v>
      </c>
      <c r="G619" t="str">
        <f>VLOOKUP(A619,Datos!$A$2:$H$1084,8,FALSE)</f>
        <v>0.10</v>
      </c>
    </row>
    <row r="620" spans="1:7" x14ac:dyDescent="0.3">
      <c r="A620" s="1">
        <v>148073</v>
      </c>
      <c r="B620" t="str">
        <f>VLOOKUP(A620,Datos!$A$2:$H$1084,3,FALSE)</f>
        <v>36.92</v>
      </c>
      <c r="C620" t="str">
        <f>VLOOKUP(A620,Datos!$A$2:$H$1084,4,FALSE)</f>
        <v>0.01</v>
      </c>
      <c r="D620" t="str">
        <f>VLOOKUP(A620,Datos!$A$2:$H$1084,5,FALSE)</f>
        <v>0.07</v>
      </c>
      <c r="E620" t="str">
        <f>VLOOKUP(A620,Datos!$A$2:$H$1084,6,FALSE)</f>
        <v>3.05</v>
      </c>
      <c r="F620" t="str">
        <f>VLOOKUP(A620,Datos!$A$2:$H$1084,7,FALSE)</f>
        <v>0.01</v>
      </c>
      <c r="G620" t="str">
        <f>VLOOKUP(A620,Datos!$A$2:$H$1084,8,FALSE)</f>
        <v>0.01</v>
      </c>
    </row>
    <row r="621" spans="1:7" x14ac:dyDescent="0.3">
      <c r="A621" s="1">
        <v>92448</v>
      </c>
      <c r="B621" t="str">
        <f>VLOOKUP(A621,Datos!$A$2:$H$1084,3,FALSE)</f>
        <v>100.43</v>
      </c>
      <c r="C621" t="str">
        <f>VLOOKUP(A621,Datos!$A$2:$H$1084,4,FALSE)</f>
        <v>0.00</v>
      </c>
      <c r="D621" t="str">
        <f>VLOOKUP(A621,Datos!$A$2:$H$1084,5,FALSE)</f>
        <v>0.59</v>
      </c>
      <c r="E621" t="str">
        <f>VLOOKUP(A621,Datos!$A$2:$H$1084,6,FALSE)</f>
        <v>23.25</v>
      </c>
      <c r="F621" t="str">
        <f>VLOOKUP(A621,Datos!$A$2:$H$1084,7,FALSE)</f>
        <v>0.00</v>
      </c>
      <c r="G621" t="str">
        <f>VLOOKUP(A621,Datos!$A$2:$H$1084,8,FALSE)</f>
        <v>0.05</v>
      </c>
    </row>
    <row r="622" spans="1:7" x14ac:dyDescent="0.3">
      <c r="A622" s="1">
        <v>489632</v>
      </c>
      <c r="B622" t="str">
        <f>VLOOKUP(A622,Datos!$A$2:$H$1084,3,FALSE)</f>
        <v>70.84</v>
      </c>
      <c r="C622" t="str">
        <f>VLOOKUP(A622,Datos!$A$2:$H$1084,4,FALSE)</f>
        <v>0.00</v>
      </c>
      <c r="D622" t="str">
        <f>VLOOKUP(A622,Datos!$A$2:$H$1084,5,FALSE)</f>
        <v>0.14</v>
      </c>
      <c r="E622" t="str">
        <f>VLOOKUP(A622,Datos!$A$2:$H$1084,6,FALSE)</f>
        <v>10.02</v>
      </c>
      <c r="F622" t="str">
        <f>VLOOKUP(A622,Datos!$A$2:$H$1084,7,FALSE)</f>
        <v>0.00</v>
      </c>
      <c r="G622" t="str">
        <f>VLOOKUP(A622,Datos!$A$2:$H$1084,8,FALSE)</f>
        <v>0.02</v>
      </c>
    </row>
    <row r="623" spans="1:7" x14ac:dyDescent="0.3">
      <c r="A623" s="1">
        <v>149732</v>
      </c>
      <c r="B623" t="str">
        <f>VLOOKUP(A623,Datos!$A$2:$H$1084,3,FALSE)</f>
        <v>44.39</v>
      </c>
      <c r="C623" t="str">
        <f>VLOOKUP(A623,Datos!$A$2:$H$1084,4,FALSE)</f>
        <v>0.00</v>
      </c>
      <c r="D623" t="str">
        <f>VLOOKUP(A623,Datos!$A$2:$H$1084,5,FALSE)</f>
        <v>0.07</v>
      </c>
      <c r="E623" t="str">
        <f>VLOOKUP(A623,Datos!$A$2:$H$1084,6,FALSE)</f>
        <v>7.46</v>
      </c>
      <c r="F623" t="str">
        <f>VLOOKUP(A623,Datos!$A$2:$H$1084,7,FALSE)</f>
        <v>0.00</v>
      </c>
      <c r="G623" t="str">
        <f>VLOOKUP(A623,Datos!$A$2:$H$1084,8,FALSE)</f>
        <v>0.01</v>
      </c>
    </row>
    <row r="624" spans="1:7" x14ac:dyDescent="0.3">
      <c r="A624" s="1">
        <v>148474</v>
      </c>
      <c r="B624" t="str">
        <f>VLOOKUP(A624,Datos!$A$2:$H$1084,3,FALSE)</f>
        <v>89.25</v>
      </c>
      <c r="C624" t="str">
        <f>VLOOKUP(A624,Datos!$A$2:$H$1084,4,FALSE)</f>
        <v>0.00</v>
      </c>
      <c r="D624" t="str">
        <f>VLOOKUP(A624,Datos!$A$2:$H$1084,5,FALSE)</f>
        <v>0.31</v>
      </c>
      <c r="E624" t="str">
        <f>VLOOKUP(A624,Datos!$A$2:$H$1084,6,FALSE)</f>
        <v>10.27</v>
      </c>
      <c r="F624" t="str">
        <f>VLOOKUP(A624,Datos!$A$2:$H$1084,7,FALSE)</f>
        <v>0.00</v>
      </c>
      <c r="G624" t="str">
        <f>VLOOKUP(A624,Datos!$A$2:$H$1084,8,FALSE)</f>
        <v>0.04</v>
      </c>
    </row>
    <row r="625" spans="1:7" x14ac:dyDescent="0.3">
      <c r="A625" s="1">
        <v>44886</v>
      </c>
      <c r="B625" t="str">
        <f>VLOOKUP(A625,Datos!$A$2:$H$1084,3,FALSE)</f>
        <v>18.63</v>
      </c>
      <c r="C625" t="str">
        <f>VLOOKUP(A625,Datos!$A$2:$H$1084,4,FALSE)</f>
        <v>0.00</v>
      </c>
      <c r="D625" t="str">
        <f>VLOOKUP(A625,Datos!$A$2:$H$1084,5,FALSE)</f>
        <v>0.03</v>
      </c>
      <c r="E625" t="str">
        <f>VLOOKUP(A625,Datos!$A$2:$H$1084,6,FALSE)</f>
        <v>8.17</v>
      </c>
      <c r="F625" t="str">
        <f>VLOOKUP(A625,Datos!$A$2:$H$1084,7,FALSE)</f>
        <v>0.00</v>
      </c>
      <c r="G625" t="str">
        <f>VLOOKUP(A625,Datos!$A$2:$H$1084,8,FALSE)</f>
        <v>0.01</v>
      </c>
    </row>
    <row r="626" spans="1:7" x14ac:dyDescent="0.3">
      <c r="A626" s="1">
        <v>148006</v>
      </c>
      <c r="B626" t="str">
        <f>VLOOKUP(A626,Datos!$A$2:$H$1084,3,FALSE)</f>
        <v>115.23</v>
      </c>
      <c r="C626" t="str">
        <f>VLOOKUP(A626,Datos!$A$2:$H$1084,4,FALSE)</f>
        <v>0.00</v>
      </c>
      <c r="D626" t="str">
        <f>VLOOKUP(A626,Datos!$A$2:$H$1084,5,FALSE)</f>
        <v>0.20</v>
      </c>
      <c r="E626" t="str">
        <f>VLOOKUP(A626,Datos!$A$2:$H$1084,6,FALSE)</f>
        <v>5.10</v>
      </c>
      <c r="F626" t="str">
        <f>VLOOKUP(A626,Datos!$A$2:$H$1084,7,FALSE)</f>
        <v>0.00</v>
      </c>
      <c r="G626" t="str">
        <f>VLOOKUP(A626,Datos!$A$2:$H$1084,8,FALSE)</f>
        <v>0.02</v>
      </c>
    </row>
    <row r="627" spans="1:7" x14ac:dyDescent="0.3">
      <c r="A627" s="1">
        <v>458640</v>
      </c>
      <c r="B627" t="str">
        <f>VLOOKUP(A627,Datos!$A$2:$H$1084,3,FALSE)</f>
        <v>68.47</v>
      </c>
      <c r="C627" t="str">
        <f>VLOOKUP(A627,Datos!$A$2:$H$1084,4,FALSE)</f>
        <v>0.00</v>
      </c>
      <c r="D627" t="str">
        <f>VLOOKUP(A627,Datos!$A$2:$H$1084,5,FALSE)</f>
        <v>0.97</v>
      </c>
      <c r="E627" t="str">
        <f>VLOOKUP(A627,Datos!$A$2:$H$1084,6,FALSE)</f>
        <v>15.22</v>
      </c>
      <c r="F627" t="str">
        <f>VLOOKUP(A627,Datos!$A$2:$H$1084,7,FALSE)</f>
        <v>0.00</v>
      </c>
      <c r="G627" t="str">
        <f>VLOOKUP(A627,Datos!$A$2:$H$1084,8,FALSE)</f>
        <v>0.09</v>
      </c>
    </row>
    <row r="628" spans="1:7" x14ac:dyDescent="0.3">
      <c r="A628" s="1">
        <v>58963</v>
      </c>
      <c r="B628" t="str">
        <f>VLOOKUP(A628,Datos!$A$2:$H$1084,3,FALSE)</f>
        <v>44.26</v>
      </c>
      <c r="C628" t="str">
        <f>VLOOKUP(A628,Datos!$A$2:$H$1084,4,FALSE)</f>
        <v>0.01</v>
      </c>
      <c r="D628" t="str">
        <f>VLOOKUP(A628,Datos!$A$2:$H$1084,5,FALSE)</f>
        <v>0.10</v>
      </c>
      <c r="E628" t="str">
        <f>VLOOKUP(A628,Datos!$A$2:$H$1084,6,FALSE)</f>
        <v>3.46</v>
      </c>
      <c r="F628" t="str">
        <f>VLOOKUP(A628,Datos!$A$2:$H$1084,7,FALSE)</f>
        <v>0.01</v>
      </c>
      <c r="G628" t="str">
        <f>VLOOKUP(A628,Datos!$A$2:$H$1084,8,FALSE)</f>
        <v>0.02</v>
      </c>
    </row>
    <row r="629" spans="1:7" x14ac:dyDescent="0.3">
      <c r="A629" s="1">
        <v>169046</v>
      </c>
      <c r="B629" t="str">
        <f>VLOOKUP(A629,Datos!$A$2:$H$1084,3,FALSE)</f>
        <v>70.42</v>
      </c>
      <c r="C629" t="str">
        <f>VLOOKUP(A629,Datos!$A$2:$H$1084,4,FALSE)</f>
        <v>0.00</v>
      </c>
      <c r="D629" t="str">
        <f>VLOOKUP(A629,Datos!$A$2:$H$1084,5,FALSE)</f>
        <v>0.34</v>
      </c>
      <c r="E629" t="str">
        <f>VLOOKUP(A629,Datos!$A$2:$H$1084,6,FALSE)</f>
        <v>19.06</v>
      </c>
      <c r="F629" t="str">
        <f>VLOOKUP(A629,Datos!$A$2:$H$1084,7,FALSE)</f>
        <v>0.00</v>
      </c>
      <c r="G629" t="str">
        <f>VLOOKUP(A629,Datos!$A$2:$H$1084,8,FALSE)</f>
        <v>0.04</v>
      </c>
    </row>
    <row r="630" spans="1:7" x14ac:dyDescent="0.3">
      <c r="A630" s="1">
        <v>441310</v>
      </c>
      <c r="B630" t="str">
        <f>VLOOKUP(A630,Datos!$A$2:$H$1084,3,FALSE)</f>
        <v>42.33</v>
      </c>
      <c r="C630" t="str">
        <f>VLOOKUP(A630,Datos!$A$2:$H$1084,4,FALSE)</f>
        <v>0.00</v>
      </c>
      <c r="D630" t="str">
        <f>VLOOKUP(A630,Datos!$A$2:$H$1084,5,FALSE)</f>
        <v>0.08</v>
      </c>
      <c r="E630" t="str">
        <f>VLOOKUP(A630,Datos!$A$2:$H$1084,6,FALSE)</f>
        <v>7.98</v>
      </c>
      <c r="F630" t="str">
        <f>VLOOKUP(A630,Datos!$A$2:$H$1084,7,FALSE)</f>
        <v>0.00</v>
      </c>
      <c r="G630" t="str">
        <f>VLOOKUP(A630,Datos!$A$2:$H$1084,8,FALSE)</f>
        <v>0.01</v>
      </c>
    </row>
    <row r="631" spans="1:7" x14ac:dyDescent="0.3">
      <c r="A631" s="1">
        <v>758568</v>
      </c>
      <c r="B631" t="str">
        <f>VLOOKUP(A631,Datos!$A$2:$H$1084,3,FALSE)</f>
        <v>52.95</v>
      </c>
      <c r="C631" t="str">
        <f>VLOOKUP(A631,Datos!$A$2:$H$1084,4,FALSE)</f>
        <v>0.00</v>
      </c>
      <c r="D631" t="str">
        <f>VLOOKUP(A631,Datos!$A$2:$H$1084,5,FALSE)</f>
        <v>0.66</v>
      </c>
      <c r="E631" t="str">
        <f>VLOOKUP(A631,Datos!$A$2:$H$1084,6,FALSE)</f>
        <v>10.49</v>
      </c>
      <c r="F631" t="str">
        <f>VLOOKUP(A631,Datos!$A$2:$H$1084,7,FALSE)</f>
        <v>0.00</v>
      </c>
      <c r="G631" t="str">
        <f>VLOOKUP(A631,Datos!$A$2:$H$1084,8,FALSE)</f>
        <v>0.04</v>
      </c>
    </row>
    <row r="632" spans="1:7" x14ac:dyDescent="0.3">
      <c r="A632" s="1">
        <v>170813</v>
      </c>
      <c r="B632" t="str">
        <f>VLOOKUP(A632,Datos!$A$2:$H$1084,3,FALSE)</f>
        <v>21.59</v>
      </c>
      <c r="C632" t="str">
        <f>VLOOKUP(A632,Datos!$A$2:$H$1084,4,FALSE)</f>
        <v>0.01</v>
      </c>
      <c r="D632" t="str">
        <f>VLOOKUP(A632,Datos!$A$2:$H$1084,5,FALSE)</f>
        <v>0.03</v>
      </c>
      <c r="E632" t="str">
        <f>VLOOKUP(A632,Datos!$A$2:$H$1084,6,FALSE)</f>
        <v>5.67</v>
      </c>
      <c r="F632" t="str">
        <f>VLOOKUP(A632,Datos!$A$2:$H$1084,7,FALSE)</f>
        <v>0.01</v>
      </c>
      <c r="G632" t="str">
        <f>VLOOKUP(A632,Datos!$A$2:$H$1084,8,FALSE)</f>
        <v>0.02</v>
      </c>
    </row>
    <row r="633" spans="1:7" x14ac:dyDescent="0.3">
      <c r="A633" s="1">
        <v>465198</v>
      </c>
      <c r="B633" t="str">
        <f>VLOOKUP(A633,Datos!$A$2:$H$1084,3,FALSE)</f>
        <v>21.62</v>
      </c>
      <c r="C633" t="str">
        <f>VLOOKUP(A633,Datos!$A$2:$H$1084,4,FALSE)</f>
        <v>0.00</v>
      </c>
      <c r="D633" t="str">
        <f>VLOOKUP(A633,Datos!$A$2:$H$1084,5,FALSE)</f>
        <v>0.07</v>
      </c>
      <c r="E633" t="str">
        <f>VLOOKUP(A633,Datos!$A$2:$H$1084,6,FALSE)</f>
        <v>6.37</v>
      </c>
      <c r="F633" t="str">
        <f>VLOOKUP(A633,Datos!$A$2:$H$1084,7,FALSE)</f>
        <v>0.00</v>
      </c>
      <c r="G633" t="str">
        <f>VLOOKUP(A633,Datos!$A$2:$H$1084,8,FALSE)</f>
        <v>0.01</v>
      </c>
    </row>
    <row r="634" spans="1:7" x14ac:dyDescent="0.3">
      <c r="A634" s="1">
        <v>77283</v>
      </c>
      <c r="B634" t="str">
        <f>VLOOKUP(A634,Datos!$A$2:$H$1084,3,FALSE)</f>
        <v>16.85</v>
      </c>
      <c r="C634" t="str">
        <f>VLOOKUP(A634,Datos!$A$2:$H$1084,4,FALSE)</f>
        <v>0.00</v>
      </c>
      <c r="D634" t="str">
        <f>VLOOKUP(A634,Datos!$A$2:$H$1084,5,FALSE)</f>
        <v>0.03</v>
      </c>
      <c r="E634" t="str">
        <f>VLOOKUP(A634,Datos!$A$2:$H$1084,6,FALSE)</f>
        <v>1.14</v>
      </c>
      <c r="F634" t="str">
        <f>VLOOKUP(A634,Datos!$A$2:$H$1084,7,FALSE)</f>
        <v>0.00</v>
      </c>
      <c r="G634" t="str">
        <f>VLOOKUP(A634,Datos!$A$2:$H$1084,8,FALSE)</f>
        <v>0.01</v>
      </c>
    </row>
    <row r="635" spans="1:7" x14ac:dyDescent="0.3">
      <c r="A635" s="1">
        <v>63549</v>
      </c>
      <c r="B635" t="str">
        <f>VLOOKUP(A635,Datos!$A$2:$H$1084,3,FALSE)</f>
        <v>0.01</v>
      </c>
      <c r="C635" t="str">
        <f>VLOOKUP(A635,Datos!$A$2:$H$1084,4,FALSE)</f>
        <v>0.00</v>
      </c>
      <c r="D635" t="str">
        <f>VLOOKUP(A635,Datos!$A$2:$H$1084,5,FALSE)</f>
        <v>0.00</v>
      </c>
      <c r="E635" t="str">
        <f>VLOOKUP(A635,Datos!$A$2:$H$1084,6,FALSE)</f>
        <v>0.01</v>
      </c>
      <c r="F635" t="str">
        <f>VLOOKUP(A635,Datos!$A$2:$H$1084,7,FALSE)</f>
        <v>0.00</v>
      </c>
      <c r="G635" t="str">
        <f>VLOOKUP(A635,Datos!$A$2:$H$1084,8,FALSE)</f>
        <v>0.00</v>
      </c>
    </row>
    <row r="636" spans="1:7" x14ac:dyDescent="0.3">
      <c r="A636" s="1">
        <v>161286</v>
      </c>
      <c r="B636" t="str">
        <f>VLOOKUP(A636,Datos!$A$2:$H$1084,3,FALSE)</f>
        <v>12.05</v>
      </c>
      <c r="C636" t="str">
        <f>VLOOKUP(A636,Datos!$A$2:$H$1084,4,FALSE)</f>
        <v>0.00</v>
      </c>
      <c r="D636" t="str">
        <f>VLOOKUP(A636,Datos!$A$2:$H$1084,5,FALSE)</f>
        <v>0.04</v>
      </c>
      <c r="E636" t="str">
        <f>VLOOKUP(A636,Datos!$A$2:$H$1084,6,FALSE)</f>
        <v>0.69</v>
      </c>
      <c r="F636" t="str">
        <f>VLOOKUP(A636,Datos!$A$2:$H$1084,7,FALSE)</f>
        <v>0.00</v>
      </c>
      <c r="G636" t="str">
        <f>VLOOKUP(A636,Datos!$A$2:$H$1084,8,FALSE)</f>
        <v>0.01</v>
      </c>
    </row>
    <row r="637" spans="1:7" x14ac:dyDescent="0.3">
      <c r="A637" s="1">
        <v>149708</v>
      </c>
      <c r="B637" t="str">
        <f>VLOOKUP(A637,Datos!$A$2:$H$1084,3,FALSE)</f>
        <v>45.20</v>
      </c>
      <c r="C637" t="str">
        <f>VLOOKUP(A637,Datos!$A$2:$H$1084,4,FALSE)</f>
        <v>0.00</v>
      </c>
      <c r="D637" t="str">
        <f>VLOOKUP(A637,Datos!$A$2:$H$1084,5,FALSE)</f>
        <v>0.18</v>
      </c>
      <c r="E637" t="str">
        <f>VLOOKUP(A637,Datos!$A$2:$H$1084,6,FALSE)</f>
        <v>47.99</v>
      </c>
      <c r="F637" t="str">
        <f>VLOOKUP(A637,Datos!$A$2:$H$1084,7,FALSE)</f>
        <v>0.00</v>
      </c>
      <c r="G637" t="str">
        <f>VLOOKUP(A637,Datos!$A$2:$H$1084,8,FALSE)</f>
        <v>0.05</v>
      </c>
    </row>
    <row r="638" spans="1:7" x14ac:dyDescent="0.3">
      <c r="A638" s="1">
        <v>147733</v>
      </c>
      <c r="B638" t="str">
        <f>VLOOKUP(A638,Datos!$A$2:$H$1084,3,FALSE)</f>
        <v>31.08</v>
      </c>
      <c r="C638" t="str">
        <f>VLOOKUP(A638,Datos!$A$2:$H$1084,4,FALSE)</f>
        <v>0.00</v>
      </c>
      <c r="D638" t="str">
        <f>VLOOKUP(A638,Datos!$A$2:$H$1084,5,FALSE)</f>
        <v>0.14</v>
      </c>
      <c r="E638" t="str">
        <f>VLOOKUP(A638,Datos!$A$2:$H$1084,6,FALSE)</f>
        <v>5.99</v>
      </c>
      <c r="F638" t="str">
        <f>VLOOKUP(A638,Datos!$A$2:$H$1084,7,FALSE)</f>
        <v>0.00</v>
      </c>
      <c r="G638" t="str">
        <f>VLOOKUP(A638,Datos!$A$2:$H$1084,8,FALSE)</f>
        <v>0.02</v>
      </c>
    </row>
    <row r="639" spans="1:7" x14ac:dyDescent="0.3">
      <c r="A639" s="1">
        <v>440933</v>
      </c>
      <c r="B639" t="str">
        <f>VLOOKUP(A639,Datos!$A$2:$H$1084,3,FALSE)</f>
        <v>6.75</v>
      </c>
      <c r="C639" t="str">
        <f>VLOOKUP(A639,Datos!$A$2:$H$1084,4,FALSE)</f>
        <v>0.00</v>
      </c>
      <c r="D639" t="str">
        <f>VLOOKUP(A639,Datos!$A$2:$H$1084,5,FALSE)</f>
        <v>0.01</v>
      </c>
      <c r="E639" t="str">
        <f>VLOOKUP(A639,Datos!$A$2:$H$1084,6,FALSE)</f>
        <v>6.76</v>
      </c>
      <c r="F639" t="str">
        <f>VLOOKUP(A639,Datos!$A$2:$H$1084,7,FALSE)</f>
        <v>0.00</v>
      </c>
      <c r="G639" t="str">
        <f>VLOOKUP(A639,Datos!$A$2:$H$1084,8,FALSE)</f>
        <v>0.01</v>
      </c>
    </row>
    <row r="640" spans="1:7" x14ac:dyDescent="0.3">
      <c r="A640" s="1">
        <v>52193</v>
      </c>
      <c r="B640" t="str">
        <f>VLOOKUP(A640,Datos!$A$2:$H$1084,3,FALSE)</f>
        <v>51.49</v>
      </c>
      <c r="C640" t="str">
        <f>VLOOKUP(A640,Datos!$A$2:$H$1084,4,FALSE)</f>
        <v>0.00</v>
      </c>
      <c r="D640" t="str">
        <f>VLOOKUP(A640,Datos!$A$2:$H$1084,5,FALSE)</f>
        <v>0.24</v>
      </c>
      <c r="E640" t="str">
        <f>VLOOKUP(A640,Datos!$A$2:$H$1084,6,FALSE)</f>
        <v>31.67</v>
      </c>
      <c r="F640" t="str">
        <f>VLOOKUP(A640,Datos!$A$2:$H$1084,7,FALSE)</f>
        <v>0.01</v>
      </c>
      <c r="G640" t="str">
        <f>VLOOKUP(A640,Datos!$A$2:$H$1084,8,FALSE)</f>
        <v>0.04</v>
      </c>
    </row>
    <row r="641" spans="1:7" x14ac:dyDescent="0.3">
      <c r="A641" s="1">
        <v>146333</v>
      </c>
      <c r="B641" t="str">
        <f>VLOOKUP(A641,Datos!$A$2:$H$1084,3,FALSE)</f>
        <v>37.58</v>
      </c>
      <c r="C641" t="str">
        <f>VLOOKUP(A641,Datos!$A$2:$H$1084,4,FALSE)</f>
        <v>0.00</v>
      </c>
      <c r="D641" t="str">
        <f>VLOOKUP(A641,Datos!$A$2:$H$1084,5,FALSE)</f>
        <v>0.03</v>
      </c>
      <c r="E641" t="str">
        <f>VLOOKUP(A641,Datos!$A$2:$H$1084,6,FALSE)</f>
        <v>15.91</v>
      </c>
      <c r="F641" t="str">
        <f>VLOOKUP(A641,Datos!$A$2:$H$1084,7,FALSE)</f>
        <v>0.00</v>
      </c>
      <c r="G641" t="str">
        <f>VLOOKUP(A641,Datos!$A$2:$H$1084,8,FALSE)</f>
        <v>0.01</v>
      </c>
    </row>
    <row r="642" spans="1:7" x14ac:dyDescent="0.3">
      <c r="A642" s="1">
        <v>463788</v>
      </c>
      <c r="B642" t="str">
        <f>VLOOKUP(A642,Datos!$A$2:$H$1084,3,FALSE)</f>
        <v>115.78</v>
      </c>
      <c r="C642" t="str">
        <f>VLOOKUP(A642,Datos!$A$2:$H$1084,4,FALSE)</f>
        <v>0.00</v>
      </c>
      <c r="D642" t="str">
        <f>VLOOKUP(A642,Datos!$A$2:$H$1084,5,FALSE)</f>
        <v>0.39</v>
      </c>
      <c r="E642" t="str">
        <f>VLOOKUP(A642,Datos!$A$2:$H$1084,6,FALSE)</f>
        <v>13.67</v>
      </c>
      <c r="F642" t="str">
        <f>VLOOKUP(A642,Datos!$A$2:$H$1084,7,FALSE)</f>
        <v>0.00</v>
      </c>
      <c r="G642" t="str">
        <f>VLOOKUP(A642,Datos!$A$2:$H$1084,8,FALSE)</f>
        <v>0.03</v>
      </c>
    </row>
    <row r="643" spans="1:7" x14ac:dyDescent="0.3">
      <c r="A643" s="1">
        <v>78094</v>
      </c>
      <c r="B643" t="str">
        <f>VLOOKUP(A643,Datos!$A$2:$H$1084,3,FALSE)</f>
        <v>45.15</v>
      </c>
      <c r="C643" t="str">
        <f>VLOOKUP(A643,Datos!$A$2:$H$1084,4,FALSE)</f>
        <v>0.00</v>
      </c>
      <c r="D643" t="str">
        <f>VLOOKUP(A643,Datos!$A$2:$H$1084,5,FALSE)</f>
        <v>0.15</v>
      </c>
      <c r="E643" t="str">
        <f>VLOOKUP(A643,Datos!$A$2:$H$1084,6,FALSE)</f>
        <v>9.66</v>
      </c>
      <c r="F643" t="str">
        <f>VLOOKUP(A643,Datos!$A$2:$H$1084,7,FALSE)</f>
        <v>0.00</v>
      </c>
      <c r="G643" t="str">
        <f>VLOOKUP(A643,Datos!$A$2:$H$1084,8,FALSE)</f>
        <v>0.02</v>
      </c>
    </row>
    <row r="644" spans="1:7" x14ac:dyDescent="0.3">
      <c r="A644" s="1">
        <v>74152</v>
      </c>
      <c r="B644" t="str">
        <f>VLOOKUP(A644,Datos!$A$2:$H$1084,3,FALSE)</f>
        <v>144.08</v>
      </c>
      <c r="C644" t="str">
        <f>VLOOKUP(A644,Datos!$A$2:$H$1084,4,FALSE)</f>
        <v>0.00</v>
      </c>
      <c r="D644" t="str">
        <f>VLOOKUP(A644,Datos!$A$2:$H$1084,5,FALSE)</f>
        <v>0.80</v>
      </c>
      <c r="E644" t="str">
        <f>VLOOKUP(A644,Datos!$A$2:$H$1084,6,FALSE)</f>
        <v>25.96</v>
      </c>
      <c r="F644" t="str">
        <f>VLOOKUP(A644,Datos!$A$2:$H$1084,7,FALSE)</f>
        <v>0.00</v>
      </c>
      <c r="G644" t="str">
        <f>VLOOKUP(A644,Datos!$A$2:$H$1084,8,FALSE)</f>
        <v>0.13</v>
      </c>
    </row>
    <row r="645" spans="1:7" x14ac:dyDescent="0.3">
      <c r="A645" s="1">
        <v>155006</v>
      </c>
      <c r="B645" t="str">
        <f>VLOOKUP(A645,Datos!$A$2:$H$1084,3,FALSE)</f>
        <v>90.60</v>
      </c>
      <c r="C645" t="str">
        <f>VLOOKUP(A645,Datos!$A$2:$H$1084,4,FALSE)</f>
        <v>0.00</v>
      </c>
      <c r="D645" t="str">
        <f>VLOOKUP(A645,Datos!$A$2:$H$1084,5,FALSE)</f>
        <v>1.58</v>
      </c>
      <c r="E645" t="str">
        <f>VLOOKUP(A645,Datos!$A$2:$H$1084,6,FALSE)</f>
        <v>23.45</v>
      </c>
      <c r="F645" t="str">
        <f>VLOOKUP(A645,Datos!$A$2:$H$1084,7,FALSE)</f>
        <v>0.00</v>
      </c>
      <c r="G645" t="str">
        <f>VLOOKUP(A645,Datos!$A$2:$H$1084,8,FALSE)</f>
        <v>0.20</v>
      </c>
    </row>
    <row r="646" spans="1:7" x14ac:dyDescent="0.3">
      <c r="A646" s="1">
        <v>60428</v>
      </c>
      <c r="B646" t="str">
        <f>VLOOKUP(A646,Datos!$A$2:$H$1084,3,FALSE)</f>
        <v>43.36</v>
      </c>
      <c r="C646" t="str">
        <f>VLOOKUP(A646,Datos!$A$2:$H$1084,4,FALSE)</f>
        <v>0.01</v>
      </c>
      <c r="D646" t="str">
        <f>VLOOKUP(A646,Datos!$A$2:$H$1084,5,FALSE)</f>
        <v>0.42</v>
      </c>
      <c r="E646" t="str">
        <f>VLOOKUP(A646,Datos!$A$2:$H$1084,6,FALSE)</f>
        <v>25.48</v>
      </c>
      <c r="F646" t="str">
        <f>VLOOKUP(A646,Datos!$A$2:$H$1084,7,FALSE)</f>
        <v>0.01</v>
      </c>
      <c r="G646" t="str">
        <f>VLOOKUP(A646,Datos!$A$2:$H$1084,8,FALSE)</f>
        <v>0.03</v>
      </c>
    </row>
    <row r="647" spans="1:7" x14ac:dyDescent="0.3">
      <c r="A647" s="1">
        <v>462331</v>
      </c>
      <c r="B647" t="str">
        <f>VLOOKUP(A647,Datos!$A$2:$H$1084,3,FALSE)</f>
        <v>44.67</v>
      </c>
      <c r="C647" t="str">
        <f>VLOOKUP(A647,Datos!$A$2:$H$1084,4,FALSE)</f>
        <v>0.00</v>
      </c>
      <c r="D647" t="str">
        <f>VLOOKUP(A647,Datos!$A$2:$H$1084,5,FALSE)</f>
        <v>0.30</v>
      </c>
      <c r="E647" t="str">
        <f>VLOOKUP(A647,Datos!$A$2:$H$1084,6,FALSE)</f>
        <v>15.20</v>
      </c>
      <c r="F647" t="str">
        <f>VLOOKUP(A647,Datos!$A$2:$H$1084,7,FALSE)</f>
        <v>0.00</v>
      </c>
      <c r="G647" t="str">
        <f>VLOOKUP(A647,Datos!$A$2:$H$1084,8,FALSE)</f>
        <v>0.04</v>
      </c>
    </row>
    <row r="648" spans="1:7" x14ac:dyDescent="0.3">
      <c r="A648" s="1">
        <v>148515</v>
      </c>
      <c r="B648" t="str">
        <f>VLOOKUP(A648,Datos!$A$2:$H$1084,3,FALSE)</f>
        <v>49.88</v>
      </c>
      <c r="C648" t="str">
        <f>VLOOKUP(A648,Datos!$A$2:$H$1084,4,FALSE)</f>
        <v>0.00</v>
      </c>
      <c r="D648" t="str">
        <f>VLOOKUP(A648,Datos!$A$2:$H$1084,5,FALSE)</f>
        <v>0.11</v>
      </c>
      <c r="E648" t="str">
        <f>VLOOKUP(A648,Datos!$A$2:$H$1084,6,FALSE)</f>
        <v>2.94</v>
      </c>
      <c r="F648" t="str">
        <f>VLOOKUP(A648,Datos!$A$2:$H$1084,7,FALSE)</f>
        <v>0.00</v>
      </c>
      <c r="G648" t="str">
        <f>VLOOKUP(A648,Datos!$A$2:$H$1084,8,FALSE)</f>
        <v>0.01</v>
      </c>
    </row>
    <row r="649" spans="1:7" x14ac:dyDescent="0.3">
      <c r="A649" s="1">
        <v>465216</v>
      </c>
      <c r="B649" t="str">
        <f>VLOOKUP(A649,Datos!$A$2:$H$1084,3,FALSE)</f>
        <v>44.92</v>
      </c>
      <c r="C649" t="str">
        <f>VLOOKUP(A649,Datos!$A$2:$H$1084,4,FALSE)</f>
        <v>0.00</v>
      </c>
      <c r="D649" t="str">
        <f>VLOOKUP(A649,Datos!$A$2:$H$1084,5,FALSE)</f>
        <v>0.08</v>
      </c>
      <c r="E649" t="str">
        <f>VLOOKUP(A649,Datos!$A$2:$H$1084,6,FALSE)</f>
        <v>3.31</v>
      </c>
      <c r="F649" t="str">
        <f>VLOOKUP(A649,Datos!$A$2:$H$1084,7,FALSE)</f>
        <v>0.00</v>
      </c>
      <c r="G649" t="str">
        <f>VLOOKUP(A649,Datos!$A$2:$H$1084,8,FALSE)</f>
        <v>0.01</v>
      </c>
    </row>
    <row r="650" spans="1:7" x14ac:dyDescent="0.3">
      <c r="A650" s="1">
        <v>486563</v>
      </c>
      <c r="B650" t="str">
        <f>VLOOKUP(A650,Datos!$A$2:$H$1084,3,FALSE)</f>
        <v>47.12</v>
      </c>
      <c r="C650" t="str">
        <f>VLOOKUP(A650,Datos!$A$2:$H$1084,4,FALSE)</f>
        <v>0.00</v>
      </c>
      <c r="D650" t="str">
        <f>VLOOKUP(A650,Datos!$A$2:$H$1084,5,FALSE)</f>
        <v>0.24</v>
      </c>
      <c r="E650" t="str">
        <f>VLOOKUP(A650,Datos!$A$2:$H$1084,6,FALSE)</f>
        <v>4.46</v>
      </c>
      <c r="F650" t="str">
        <f>VLOOKUP(A650,Datos!$A$2:$H$1084,7,FALSE)</f>
        <v>0.00</v>
      </c>
      <c r="G650" t="str">
        <f>VLOOKUP(A650,Datos!$A$2:$H$1084,8,FALSE)</f>
        <v>0.03</v>
      </c>
    </row>
    <row r="651" spans="1:7" x14ac:dyDescent="0.3">
      <c r="A651" s="1">
        <v>152748</v>
      </c>
      <c r="B651" t="str">
        <f>VLOOKUP(A651,Datos!$A$2:$H$1084,3,FALSE)</f>
        <v>4.53</v>
      </c>
      <c r="C651" t="str">
        <f>VLOOKUP(A651,Datos!$A$2:$H$1084,4,FALSE)</f>
        <v>0.00</v>
      </c>
      <c r="D651" t="str">
        <f>VLOOKUP(A651,Datos!$A$2:$H$1084,5,FALSE)</f>
        <v>0.01</v>
      </c>
      <c r="E651" t="str">
        <f>VLOOKUP(A651,Datos!$A$2:$H$1084,6,FALSE)</f>
        <v>0.29</v>
      </c>
      <c r="F651" t="str">
        <f>VLOOKUP(A651,Datos!$A$2:$H$1084,7,FALSE)</f>
        <v>0.00</v>
      </c>
      <c r="G651" t="str">
        <f>VLOOKUP(A651,Datos!$A$2:$H$1084,8,FALSE)</f>
        <v>0.00</v>
      </c>
    </row>
    <row r="652" spans="1:7" x14ac:dyDescent="0.3">
      <c r="A652" s="1">
        <v>60206</v>
      </c>
      <c r="B652" t="str">
        <f>VLOOKUP(A652,Datos!$A$2:$H$1084,3,FALSE)</f>
        <v>10.76</v>
      </c>
      <c r="C652" t="str">
        <f>VLOOKUP(A652,Datos!$A$2:$H$1084,4,FALSE)</f>
        <v>0.00</v>
      </c>
      <c r="D652" t="str">
        <f>VLOOKUP(A652,Datos!$A$2:$H$1084,5,FALSE)</f>
        <v>0.02</v>
      </c>
      <c r="E652" t="str">
        <f>VLOOKUP(A652,Datos!$A$2:$H$1084,6,FALSE)</f>
        <v>4.16</v>
      </c>
      <c r="F652" t="str">
        <f>VLOOKUP(A652,Datos!$A$2:$H$1084,7,FALSE)</f>
        <v>0.00</v>
      </c>
      <c r="G652" t="str">
        <f>VLOOKUP(A652,Datos!$A$2:$H$1084,8,FALSE)</f>
        <v>0.01</v>
      </c>
    </row>
    <row r="653" spans="1:7" x14ac:dyDescent="0.3">
      <c r="A653" s="1">
        <v>168805</v>
      </c>
      <c r="B653" t="str">
        <f>VLOOKUP(A653,Datos!$A$2:$H$1084,3,FALSE)</f>
        <v>86.07</v>
      </c>
      <c r="C653" t="str">
        <f>VLOOKUP(A653,Datos!$A$2:$H$1084,4,FALSE)</f>
        <v>0.01</v>
      </c>
      <c r="D653" t="str">
        <f>VLOOKUP(A653,Datos!$A$2:$H$1084,5,FALSE)</f>
        <v>1.52</v>
      </c>
      <c r="E653" t="str">
        <f>VLOOKUP(A653,Datos!$A$2:$H$1084,6,FALSE)</f>
        <v>47.41</v>
      </c>
      <c r="F653" t="str">
        <f>VLOOKUP(A653,Datos!$A$2:$H$1084,7,FALSE)</f>
        <v>0.00</v>
      </c>
      <c r="G653" t="str">
        <f>VLOOKUP(A653,Datos!$A$2:$H$1084,8,FALSE)</f>
        <v>0.17</v>
      </c>
    </row>
    <row r="654" spans="1:7" x14ac:dyDescent="0.3">
      <c r="A654" s="1">
        <v>74133</v>
      </c>
      <c r="B654" t="str">
        <f>VLOOKUP(A654,Datos!$A$2:$H$1084,3,FALSE)</f>
        <v>28.20</v>
      </c>
      <c r="C654" t="str">
        <f>VLOOKUP(A654,Datos!$A$2:$H$1084,4,FALSE)</f>
        <v>0.00</v>
      </c>
      <c r="D654" t="str">
        <f>VLOOKUP(A654,Datos!$A$2:$H$1084,5,FALSE)</f>
        <v>0.05</v>
      </c>
      <c r="E654" t="str">
        <f>VLOOKUP(A654,Datos!$A$2:$H$1084,6,FALSE)</f>
        <v>5.51</v>
      </c>
      <c r="F654" t="str">
        <f>VLOOKUP(A654,Datos!$A$2:$H$1084,7,FALSE)</f>
        <v>0.00</v>
      </c>
      <c r="G654" t="str">
        <f>VLOOKUP(A654,Datos!$A$2:$H$1084,8,FALSE)</f>
        <v>0.01</v>
      </c>
    </row>
    <row r="655" spans="1:7" x14ac:dyDescent="0.3">
      <c r="A655" s="1">
        <v>148964</v>
      </c>
      <c r="B655" t="str">
        <f>VLOOKUP(A655,Datos!$A$2:$H$1084,3,FALSE)</f>
        <v>59.16</v>
      </c>
      <c r="C655" t="str">
        <f>VLOOKUP(A655,Datos!$A$2:$H$1084,4,FALSE)</f>
        <v>0.00</v>
      </c>
      <c r="D655" t="str">
        <f>VLOOKUP(A655,Datos!$A$2:$H$1084,5,FALSE)</f>
        <v>0.16</v>
      </c>
      <c r="E655" t="str">
        <f>VLOOKUP(A655,Datos!$A$2:$H$1084,6,FALSE)</f>
        <v>9.48</v>
      </c>
      <c r="F655" t="str">
        <f>VLOOKUP(A655,Datos!$A$2:$H$1084,7,FALSE)</f>
        <v>0.00</v>
      </c>
      <c r="G655" t="str">
        <f>VLOOKUP(A655,Datos!$A$2:$H$1084,8,FALSE)</f>
        <v>0.03</v>
      </c>
    </row>
    <row r="656" spans="1:7" x14ac:dyDescent="0.3">
      <c r="A656" s="1">
        <v>64313</v>
      </c>
      <c r="B656" t="str">
        <f>VLOOKUP(A656,Datos!$A$2:$H$1084,3,FALSE)</f>
        <v>21.97</v>
      </c>
      <c r="C656" t="str">
        <f>VLOOKUP(A656,Datos!$A$2:$H$1084,4,FALSE)</f>
        <v>0.00</v>
      </c>
      <c r="D656" t="str">
        <f>VLOOKUP(A656,Datos!$A$2:$H$1084,5,FALSE)</f>
        <v>0.05</v>
      </c>
      <c r="E656" t="str">
        <f>VLOOKUP(A656,Datos!$A$2:$H$1084,6,FALSE)</f>
        <v>6.17</v>
      </c>
      <c r="F656" t="str">
        <f>VLOOKUP(A656,Datos!$A$2:$H$1084,7,FALSE)</f>
        <v>0.00</v>
      </c>
      <c r="G656" t="str">
        <f>VLOOKUP(A656,Datos!$A$2:$H$1084,8,FALSE)</f>
        <v>0.02</v>
      </c>
    </row>
    <row r="657" spans="1:7" x14ac:dyDescent="0.3">
      <c r="A657" s="1">
        <v>171030</v>
      </c>
      <c r="B657" t="str">
        <f>VLOOKUP(A657,Datos!$A$2:$H$1084,3,FALSE)</f>
        <v>75.53</v>
      </c>
      <c r="C657" t="str">
        <f>VLOOKUP(A657,Datos!$A$2:$H$1084,4,FALSE)</f>
        <v>0.00</v>
      </c>
      <c r="D657" t="str">
        <f>VLOOKUP(A657,Datos!$A$2:$H$1084,5,FALSE)</f>
        <v>0.22</v>
      </c>
      <c r="E657" t="str">
        <f>VLOOKUP(A657,Datos!$A$2:$H$1084,6,FALSE)</f>
        <v>4.61</v>
      </c>
      <c r="F657" t="str">
        <f>VLOOKUP(A657,Datos!$A$2:$H$1084,7,FALSE)</f>
        <v>0.00</v>
      </c>
      <c r="G657" t="str">
        <f>VLOOKUP(A657,Datos!$A$2:$H$1084,8,FALSE)</f>
        <v>0.01</v>
      </c>
    </row>
    <row r="658" spans="1:7" x14ac:dyDescent="0.3">
      <c r="A658" s="1">
        <v>170262</v>
      </c>
      <c r="B658" t="str">
        <f>VLOOKUP(A658,Datos!$A$2:$H$1084,3,FALSE)</f>
        <v>27.94</v>
      </c>
      <c r="C658" t="str">
        <f>VLOOKUP(A658,Datos!$A$2:$H$1084,4,FALSE)</f>
        <v>0.00</v>
      </c>
      <c r="D658" t="str">
        <f>VLOOKUP(A658,Datos!$A$2:$H$1084,5,FALSE)</f>
        <v>0.07</v>
      </c>
      <c r="E658" t="str">
        <f>VLOOKUP(A658,Datos!$A$2:$H$1084,6,FALSE)</f>
        <v>4.75</v>
      </c>
      <c r="F658" t="str">
        <f>VLOOKUP(A658,Datos!$A$2:$H$1084,7,FALSE)</f>
        <v>0.00</v>
      </c>
      <c r="G658" t="str">
        <f>VLOOKUP(A658,Datos!$A$2:$H$1084,8,FALSE)</f>
        <v>0.01</v>
      </c>
    </row>
    <row r="659" spans="1:7" x14ac:dyDescent="0.3">
      <c r="A659" s="1">
        <v>68783</v>
      </c>
      <c r="B659" t="str">
        <f>VLOOKUP(A659,Datos!$A$2:$H$1084,3,FALSE)</f>
        <v>38.58</v>
      </c>
      <c r="C659" t="str">
        <f>VLOOKUP(A659,Datos!$A$2:$H$1084,4,FALSE)</f>
        <v>0.00</v>
      </c>
      <c r="D659" t="str">
        <f>VLOOKUP(A659,Datos!$A$2:$H$1084,5,FALSE)</f>
        <v>0.07</v>
      </c>
      <c r="E659" t="str">
        <f>VLOOKUP(A659,Datos!$A$2:$H$1084,6,FALSE)</f>
        <v>17.15</v>
      </c>
      <c r="F659" t="str">
        <f>VLOOKUP(A659,Datos!$A$2:$H$1084,7,FALSE)</f>
        <v>0.00</v>
      </c>
      <c r="G659" t="str">
        <f>VLOOKUP(A659,Datos!$A$2:$H$1084,8,FALSE)</f>
        <v>0.02</v>
      </c>
    </row>
    <row r="660" spans="1:7" x14ac:dyDescent="0.3">
      <c r="A660" s="1">
        <v>168693</v>
      </c>
      <c r="B660" t="str">
        <f>VLOOKUP(A660,Datos!$A$2:$H$1084,3,FALSE)</f>
        <v>24.34</v>
      </c>
      <c r="C660" t="str">
        <f>VLOOKUP(A660,Datos!$A$2:$H$1084,4,FALSE)</f>
        <v>0.01</v>
      </c>
      <c r="D660" t="str">
        <f>VLOOKUP(A660,Datos!$A$2:$H$1084,5,FALSE)</f>
        <v>0.16</v>
      </c>
      <c r="E660" t="str">
        <f>VLOOKUP(A660,Datos!$A$2:$H$1084,6,FALSE)</f>
        <v>1.28</v>
      </c>
      <c r="F660" t="str">
        <f>VLOOKUP(A660,Datos!$A$2:$H$1084,7,FALSE)</f>
        <v>0.00</v>
      </c>
      <c r="G660" t="str">
        <f>VLOOKUP(A660,Datos!$A$2:$H$1084,8,FALSE)</f>
        <v>0.01</v>
      </c>
    </row>
    <row r="661" spans="1:7" x14ac:dyDescent="0.3">
      <c r="A661" s="1">
        <v>59849</v>
      </c>
      <c r="B661" t="str">
        <f>VLOOKUP(A661,Datos!$A$2:$H$1084,3,FALSE)</f>
        <v>94.12</v>
      </c>
      <c r="C661" t="str">
        <f>VLOOKUP(A661,Datos!$A$2:$H$1084,4,FALSE)</f>
        <v>0.00</v>
      </c>
      <c r="D661" t="str">
        <f>VLOOKUP(A661,Datos!$A$2:$H$1084,5,FALSE)</f>
        <v>0.24</v>
      </c>
      <c r="E661" t="str">
        <f>VLOOKUP(A661,Datos!$A$2:$H$1084,6,FALSE)</f>
        <v>4.43</v>
      </c>
      <c r="F661" t="str">
        <f>VLOOKUP(A661,Datos!$A$2:$H$1084,7,FALSE)</f>
        <v>0.00</v>
      </c>
      <c r="G661" t="str">
        <f>VLOOKUP(A661,Datos!$A$2:$H$1084,8,FALSE)</f>
        <v>0.02</v>
      </c>
    </row>
    <row r="662" spans="1:7" x14ac:dyDescent="0.3">
      <c r="A662" s="1">
        <v>533927</v>
      </c>
      <c r="B662" t="str">
        <f>VLOOKUP(A662,Datos!$A$2:$H$1084,3,FALSE)</f>
        <v>79.07</v>
      </c>
      <c r="C662" t="str">
        <f>VLOOKUP(A662,Datos!$A$2:$H$1084,4,FALSE)</f>
        <v>0.00</v>
      </c>
      <c r="D662" t="str">
        <f>VLOOKUP(A662,Datos!$A$2:$H$1084,5,FALSE)</f>
        <v>0.11</v>
      </c>
      <c r="E662" t="str">
        <f>VLOOKUP(A662,Datos!$A$2:$H$1084,6,FALSE)</f>
        <v>5.89</v>
      </c>
      <c r="F662" t="str">
        <f>VLOOKUP(A662,Datos!$A$2:$H$1084,7,FALSE)</f>
        <v>0.00</v>
      </c>
      <c r="G662" t="str">
        <f>VLOOKUP(A662,Datos!$A$2:$H$1084,8,FALSE)</f>
        <v>0.01</v>
      </c>
    </row>
    <row r="663" spans="1:7" x14ac:dyDescent="0.3">
      <c r="A663" s="1">
        <v>52268</v>
      </c>
      <c r="B663" t="str">
        <f>VLOOKUP(A663,Datos!$A$2:$H$1084,3,FALSE)</f>
        <v>97.21</v>
      </c>
      <c r="C663" t="str">
        <f>VLOOKUP(A663,Datos!$A$2:$H$1084,4,FALSE)</f>
        <v>0.01</v>
      </c>
      <c r="D663" t="str">
        <f>VLOOKUP(A663,Datos!$A$2:$H$1084,5,FALSE)</f>
        <v>0.45</v>
      </c>
      <c r="E663" t="str">
        <f>VLOOKUP(A663,Datos!$A$2:$H$1084,6,FALSE)</f>
        <v>5.08</v>
      </c>
      <c r="F663" t="str">
        <f>VLOOKUP(A663,Datos!$A$2:$H$1084,7,FALSE)</f>
        <v>0.01</v>
      </c>
      <c r="G663" t="str">
        <f>VLOOKUP(A663,Datos!$A$2:$H$1084,8,FALSE)</f>
        <v>0.04</v>
      </c>
    </row>
    <row r="664" spans="1:7" x14ac:dyDescent="0.3">
      <c r="A664" s="1">
        <v>467970</v>
      </c>
      <c r="B664" t="str">
        <f>VLOOKUP(A664,Datos!$A$2:$H$1084,3,FALSE)</f>
        <v>104.62</v>
      </c>
      <c r="C664" t="str">
        <f>VLOOKUP(A664,Datos!$A$2:$H$1084,4,FALSE)</f>
        <v>0.00</v>
      </c>
      <c r="D664" t="str">
        <f>VLOOKUP(A664,Datos!$A$2:$H$1084,5,FALSE)</f>
        <v>0.35</v>
      </c>
      <c r="E664" t="str">
        <f>VLOOKUP(A664,Datos!$A$2:$H$1084,6,FALSE)</f>
        <v>5.93</v>
      </c>
      <c r="F664" t="str">
        <f>VLOOKUP(A664,Datos!$A$2:$H$1084,7,FALSE)</f>
        <v>0.00</v>
      </c>
      <c r="G664" t="str">
        <f>VLOOKUP(A664,Datos!$A$2:$H$1084,8,FALSE)</f>
        <v>0.04</v>
      </c>
    </row>
    <row r="665" spans="1:7" x14ac:dyDescent="0.3">
      <c r="A665" s="1">
        <v>166203</v>
      </c>
      <c r="B665" t="str">
        <f>VLOOKUP(A665,Datos!$A$2:$H$1084,3,FALSE)</f>
        <v>61.56</v>
      </c>
      <c r="C665" t="str">
        <f>VLOOKUP(A665,Datos!$A$2:$H$1084,4,FALSE)</f>
        <v>0.01</v>
      </c>
      <c r="D665" t="str">
        <f>VLOOKUP(A665,Datos!$A$2:$H$1084,5,FALSE)</f>
        <v>0.32</v>
      </c>
      <c r="E665" t="str">
        <f>VLOOKUP(A665,Datos!$A$2:$H$1084,6,FALSE)</f>
        <v>43.40</v>
      </c>
      <c r="F665" t="str">
        <f>VLOOKUP(A665,Datos!$A$2:$H$1084,7,FALSE)</f>
        <v>0.01</v>
      </c>
      <c r="G665" t="str">
        <f>VLOOKUP(A665,Datos!$A$2:$H$1084,8,FALSE)</f>
        <v>0.05</v>
      </c>
    </row>
    <row r="666" spans="1:7" x14ac:dyDescent="0.3">
      <c r="A666" s="1">
        <v>150872</v>
      </c>
      <c r="B666" t="str">
        <f>VLOOKUP(A666,Datos!$A$2:$H$1084,3,FALSE)</f>
        <v>89.58</v>
      </c>
      <c r="C666" t="str">
        <f>VLOOKUP(A666,Datos!$A$2:$H$1084,4,FALSE)</f>
        <v>0.00</v>
      </c>
      <c r="D666" t="str">
        <f>VLOOKUP(A666,Datos!$A$2:$H$1084,5,FALSE)</f>
        <v>1.63</v>
      </c>
      <c r="E666" t="str">
        <f>VLOOKUP(A666,Datos!$A$2:$H$1084,6,FALSE)</f>
        <v>0.40</v>
      </c>
      <c r="F666" t="str">
        <f>VLOOKUP(A666,Datos!$A$2:$H$1084,7,FALSE)</f>
        <v>0.00</v>
      </c>
      <c r="G666" t="str">
        <f>VLOOKUP(A666,Datos!$A$2:$H$1084,8,FALSE)</f>
        <v>0.00</v>
      </c>
    </row>
    <row r="667" spans="1:7" x14ac:dyDescent="0.3">
      <c r="A667" s="1">
        <v>150631</v>
      </c>
      <c r="B667" t="str">
        <f>VLOOKUP(A667,Datos!$A$2:$H$1084,3,FALSE)</f>
        <v>53.47</v>
      </c>
      <c r="C667" t="str">
        <f>VLOOKUP(A667,Datos!$A$2:$H$1084,4,FALSE)</f>
        <v>0.00</v>
      </c>
      <c r="D667" t="str">
        <f>VLOOKUP(A667,Datos!$A$2:$H$1084,5,FALSE)</f>
        <v>0.40</v>
      </c>
      <c r="E667" t="str">
        <f>VLOOKUP(A667,Datos!$A$2:$H$1084,6,FALSE)</f>
        <v>1.86</v>
      </c>
      <c r="F667" t="str">
        <f>VLOOKUP(A667,Datos!$A$2:$H$1084,7,FALSE)</f>
        <v>0.00</v>
      </c>
      <c r="G667" t="str">
        <f>VLOOKUP(A667,Datos!$A$2:$H$1084,8,FALSE)</f>
        <v>0.01</v>
      </c>
    </row>
    <row r="668" spans="1:7" x14ac:dyDescent="0.3">
      <c r="A668" s="1">
        <v>79871</v>
      </c>
      <c r="B668" t="str">
        <f>VLOOKUP(A668,Datos!$A$2:$H$1084,3,FALSE)</f>
        <v>18.77</v>
      </c>
      <c r="C668" t="str">
        <f>VLOOKUP(A668,Datos!$A$2:$H$1084,4,FALSE)</f>
        <v>0.00</v>
      </c>
      <c r="D668" t="str">
        <f>VLOOKUP(A668,Datos!$A$2:$H$1084,5,FALSE)</f>
        <v>0.04</v>
      </c>
      <c r="E668" t="str">
        <f>VLOOKUP(A668,Datos!$A$2:$H$1084,6,FALSE)</f>
        <v>3.11</v>
      </c>
      <c r="F668" t="str">
        <f>VLOOKUP(A668,Datos!$A$2:$H$1084,7,FALSE)</f>
        <v>0.00</v>
      </c>
      <c r="G668" t="str">
        <f>VLOOKUP(A668,Datos!$A$2:$H$1084,8,FALSE)</f>
        <v>0.01</v>
      </c>
    </row>
    <row r="669" spans="1:7" x14ac:dyDescent="0.3">
      <c r="A669" s="1">
        <v>155313</v>
      </c>
      <c r="B669" t="str">
        <f>VLOOKUP(A669,Datos!$A$2:$H$1084,3,FALSE)</f>
        <v>39.96</v>
      </c>
      <c r="C669" t="str">
        <f>VLOOKUP(A669,Datos!$A$2:$H$1084,4,FALSE)</f>
        <v>0.00</v>
      </c>
      <c r="D669" t="str">
        <f>VLOOKUP(A669,Datos!$A$2:$H$1084,5,FALSE)</f>
        <v>0.81</v>
      </c>
      <c r="E669" t="str">
        <f>VLOOKUP(A669,Datos!$A$2:$H$1084,6,FALSE)</f>
        <v>7.91</v>
      </c>
      <c r="F669" t="str">
        <f>VLOOKUP(A669,Datos!$A$2:$H$1084,7,FALSE)</f>
        <v>0.00</v>
      </c>
      <c r="G669" t="str">
        <f>VLOOKUP(A669,Datos!$A$2:$H$1084,8,FALSE)</f>
        <v>0.08</v>
      </c>
    </row>
    <row r="670" spans="1:7" x14ac:dyDescent="0.3">
      <c r="A670" s="1">
        <v>92660</v>
      </c>
      <c r="B670" t="str">
        <f>VLOOKUP(A670,Datos!$A$2:$H$1084,3,FALSE)</f>
        <v>59.94</v>
      </c>
      <c r="C670" t="str">
        <f>VLOOKUP(A670,Datos!$A$2:$H$1084,4,FALSE)</f>
        <v>0.00</v>
      </c>
      <c r="D670" t="str">
        <f>VLOOKUP(A670,Datos!$A$2:$H$1084,5,FALSE)</f>
        <v>0.84</v>
      </c>
      <c r="E670" t="str">
        <f>VLOOKUP(A670,Datos!$A$2:$H$1084,6,FALSE)</f>
        <v>21.01</v>
      </c>
      <c r="F670" t="str">
        <f>VLOOKUP(A670,Datos!$A$2:$H$1084,7,FALSE)</f>
        <v>0.00</v>
      </c>
      <c r="G670" t="str">
        <f>VLOOKUP(A670,Datos!$A$2:$H$1084,8,FALSE)</f>
        <v>0.11</v>
      </c>
    </row>
    <row r="671" spans="1:7" x14ac:dyDescent="0.3">
      <c r="A671" s="1">
        <v>168235</v>
      </c>
      <c r="B671" t="str">
        <f>VLOOKUP(A671,Datos!$A$2:$H$1084,3,FALSE)</f>
        <v>29.68</v>
      </c>
      <c r="C671" t="str">
        <f>VLOOKUP(A671,Datos!$A$2:$H$1084,4,FALSE)</f>
        <v>0.00</v>
      </c>
      <c r="D671" t="str">
        <f>VLOOKUP(A671,Datos!$A$2:$H$1084,5,FALSE)</f>
        <v>0.18</v>
      </c>
      <c r="E671" t="str">
        <f>VLOOKUP(A671,Datos!$A$2:$H$1084,6,FALSE)</f>
        <v>7.07</v>
      </c>
      <c r="F671" t="str">
        <f>VLOOKUP(A671,Datos!$A$2:$H$1084,7,FALSE)</f>
        <v>0.00</v>
      </c>
      <c r="G671" t="str">
        <f>VLOOKUP(A671,Datos!$A$2:$H$1084,8,FALSE)</f>
        <v>0.02</v>
      </c>
    </row>
    <row r="672" spans="1:7" x14ac:dyDescent="0.3">
      <c r="A672" s="1">
        <v>154969</v>
      </c>
      <c r="B672" t="str">
        <f>VLOOKUP(A672,Datos!$A$2:$H$1084,3,FALSE)</f>
        <v>180.35</v>
      </c>
      <c r="C672" t="str">
        <f>VLOOKUP(A672,Datos!$A$2:$H$1084,4,FALSE)</f>
        <v>0.00</v>
      </c>
      <c r="D672" t="str">
        <f>VLOOKUP(A672,Datos!$A$2:$H$1084,5,FALSE)</f>
        <v>0.97</v>
      </c>
      <c r="E672" t="str">
        <f>VLOOKUP(A672,Datos!$A$2:$H$1084,6,FALSE)</f>
        <v>25.98</v>
      </c>
      <c r="F672" t="str">
        <f>VLOOKUP(A672,Datos!$A$2:$H$1084,7,FALSE)</f>
        <v>0.00</v>
      </c>
      <c r="G672" t="str">
        <f>VLOOKUP(A672,Datos!$A$2:$H$1084,8,FALSE)</f>
        <v>0.09</v>
      </c>
    </row>
    <row r="673" spans="1:7" x14ac:dyDescent="0.3">
      <c r="A673" s="1">
        <v>155054</v>
      </c>
      <c r="B673" t="str">
        <f>VLOOKUP(A673,Datos!$A$2:$H$1084,3,FALSE)</f>
        <v>109.11</v>
      </c>
      <c r="C673" t="str">
        <f>VLOOKUP(A673,Datos!$A$2:$H$1084,4,FALSE)</f>
        <v>0.00</v>
      </c>
      <c r="D673" t="str">
        <f>VLOOKUP(A673,Datos!$A$2:$H$1084,5,FALSE)</f>
        <v>1.60</v>
      </c>
      <c r="E673" t="str">
        <f>VLOOKUP(A673,Datos!$A$2:$H$1084,6,FALSE)</f>
        <v>0.98</v>
      </c>
      <c r="F673" t="str">
        <f>VLOOKUP(A673,Datos!$A$2:$H$1084,7,FALSE)</f>
        <v>0.00</v>
      </c>
      <c r="G673" t="str">
        <f>VLOOKUP(A673,Datos!$A$2:$H$1084,8,FALSE)</f>
        <v>0.00</v>
      </c>
    </row>
    <row r="674" spans="1:7" x14ac:dyDescent="0.3">
      <c r="A674" s="1">
        <v>91359</v>
      </c>
      <c r="B674" t="str">
        <f>VLOOKUP(A674,Datos!$A$2:$H$1084,3,FALSE)</f>
        <v>88.75</v>
      </c>
      <c r="C674" t="str">
        <f>VLOOKUP(A674,Datos!$A$2:$H$1084,4,FALSE)</f>
        <v>0.00</v>
      </c>
      <c r="D674" t="str">
        <f>VLOOKUP(A674,Datos!$A$2:$H$1084,5,FALSE)</f>
        <v>0.36</v>
      </c>
      <c r="E674" t="str">
        <f>VLOOKUP(A674,Datos!$A$2:$H$1084,6,FALSE)</f>
        <v>13.34</v>
      </c>
      <c r="F674" t="str">
        <f>VLOOKUP(A674,Datos!$A$2:$H$1084,7,FALSE)</f>
        <v>0.00</v>
      </c>
      <c r="G674" t="str">
        <f>VLOOKUP(A674,Datos!$A$2:$H$1084,8,FALSE)</f>
        <v>0.04</v>
      </c>
    </row>
    <row r="675" spans="1:7" x14ac:dyDescent="0.3">
      <c r="A675" s="1">
        <v>445756</v>
      </c>
      <c r="B675" t="str">
        <f>VLOOKUP(A675,Datos!$A$2:$H$1084,3,FALSE)</f>
        <v>88.91</v>
      </c>
      <c r="C675" t="str">
        <f>VLOOKUP(A675,Datos!$A$2:$H$1084,4,FALSE)</f>
        <v>0.00</v>
      </c>
      <c r="D675" t="str">
        <f>VLOOKUP(A675,Datos!$A$2:$H$1084,5,FALSE)</f>
        <v>0.97</v>
      </c>
      <c r="E675" t="str">
        <f>VLOOKUP(A675,Datos!$A$2:$H$1084,6,FALSE)</f>
        <v>53.78</v>
      </c>
      <c r="F675" t="str">
        <f>VLOOKUP(A675,Datos!$A$2:$H$1084,7,FALSE)</f>
        <v>0.00</v>
      </c>
      <c r="G675" t="str">
        <f>VLOOKUP(A675,Datos!$A$2:$H$1084,8,FALSE)</f>
        <v>0.03</v>
      </c>
    </row>
    <row r="676" spans="1:7" x14ac:dyDescent="0.3">
      <c r="A676" s="1">
        <v>149727</v>
      </c>
      <c r="B676" t="str">
        <f>VLOOKUP(A676,Datos!$A$2:$H$1084,3,FALSE)</f>
        <v>23.13</v>
      </c>
      <c r="C676" t="str">
        <f>VLOOKUP(A676,Datos!$A$2:$H$1084,4,FALSE)</f>
        <v>0.00</v>
      </c>
      <c r="D676" t="str">
        <f>VLOOKUP(A676,Datos!$A$2:$H$1084,5,FALSE)</f>
        <v>0.02</v>
      </c>
      <c r="E676" t="str">
        <f>VLOOKUP(A676,Datos!$A$2:$H$1084,6,FALSE)</f>
        <v>14.92</v>
      </c>
      <c r="F676" t="str">
        <f>VLOOKUP(A676,Datos!$A$2:$H$1084,7,FALSE)</f>
        <v>0.00</v>
      </c>
      <c r="G676" t="str">
        <f>VLOOKUP(A676,Datos!$A$2:$H$1084,8,FALSE)</f>
        <v>0.02</v>
      </c>
    </row>
    <row r="677" spans="1:7" x14ac:dyDescent="0.3">
      <c r="A677" s="1">
        <v>88229</v>
      </c>
      <c r="B677" t="str">
        <f>VLOOKUP(A677,Datos!$A$2:$H$1084,3,FALSE)</f>
        <v>137.23</v>
      </c>
      <c r="C677" t="str">
        <f>VLOOKUP(A677,Datos!$A$2:$H$1084,4,FALSE)</f>
        <v>0.00</v>
      </c>
      <c r="D677" t="str">
        <f>VLOOKUP(A677,Datos!$A$2:$H$1084,5,FALSE)</f>
        <v>1.79</v>
      </c>
      <c r="E677" t="str">
        <f>VLOOKUP(A677,Datos!$A$2:$H$1084,6,FALSE)</f>
        <v>47.68</v>
      </c>
      <c r="F677" t="str">
        <f>VLOOKUP(A677,Datos!$A$2:$H$1084,7,FALSE)</f>
        <v>0.00</v>
      </c>
      <c r="G677" t="str">
        <f>VLOOKUP(A677,Datos!$A$2:$H$1084,8,FALSE)</f>
        <v>0.15</v>
      </c>
    </row>
    <row r="678" spans="1:7" x14ac:dyDescent="0.3">
      <c r="A678" s="1">
        <v>399764</v>
      </c>
      <c r="B678" t="str">
        <f>VLOOKUP(A678,Datos!$A$2:$H$1084,3,FALSE)</f>
        <v>76.10</v>
      </c>
      <c r="C678" t="str">
        <f>VLOOKUP(A678,Datos!$A$2:$H$1084,4,FALSE)</f>
        <v>0.00</v>
      </c>
      <c r="D678" t="str">
        <f>VLOOKUP(A678,Datos!$A$2:$H$1084,5,FALSE)</f>
        <v>0.21</v>
      </c>
      <c r="E678" t="str">
        <f>VLOOKUP(A678,Datos!$A$2:$H$1084,6,FALSE)</f>
        <v>4.72</v>
      </c>
      <c r="F678" t="str">
        <f>VLOOKUP(A678,Datos!$A$2:$H$1084,7,FALSE)</f>
        <v>0.00</v>
      </c>
      <c r="G678" t="str">
        <f>VLOOKUP(A678,Datos!$A$2:$H$1084,8,FALSE)</f>
        <v>0.02</v>
      </c>
    </row>
    <row r="679" spans="1:7" x14ac:dyDescent="0.3">
      <c r="A679" s="1">
        <v>445105</v>
      </c>
      <c r="B679" t="str">
        <f>VLOOKUP(A679,Datos!$A$2:$H$1084,3,FALSE)</f>
        <v>103.46</v>
      </c>
      <c r="C679" t="str">
        <f>VLOOKUP(A679,Datos!$A$2:$H$1084,4,FALSE)</f>
        <v>0.00</v>
      </c>
      <c r="D679" t="str">
        <f>VLOOKUP(A679,Datos!$A$2:$H$1084,5,FALSE)</f>
        <v>1.63</v>
      </c>
      <c r="E679" t="str">
        <f>VLOOKUP(A679,Datos!$A$2:$H$1084,6,FALSE)</f>
        <v>10.70</v>
      </c>
      <c r="F679" t="str">
        <f>VLOOKUP(A679,Datos!$A$2:$H$1084,7,FALSE)</f>
        <v>0.00</v>
      </c>
      <c r="G679" t="str">
        <f>VLOOKUP(A679,Datos!$A$2:$H$1084,8,FALSE)</f>
        <v>0.02</v>
      </c>
    </row>
    <row r="680" spans="1:7" x14ac:dyDescent="0.3">
      <c r="A680" s="1">
        <v>261139</v>
      </c>
      <c r="B680" t="str">
        <f>VLOOKUP(A680,Datos!$A$2:$H$1084,3,FALSE)</f>
        <v>39.91</v>
      </c>
      <c r="C680" t="str">
        <f>VLOOKUP(A680,Datos!$A$2:$H$1084,4,FALSE)</f>
        <v>0.00</v>
      </c>
      <c r="D680" t="str">
        <f>VLOOKUP(A680,Datos!$A$2:$H$1084,5,FALSE)</f>
        <v>0.16</v>
      </c>
      <c r="E680" t="str">
        <f>VLOOKUP(A680,Datos!$A$2:$H$1084,6,FALSE)</f>
        <v>14.83</v>
      </c>
      <c r="F680" t="str">
        <f>VLOOKUP(A680,Datos!$A$2:$H$1084,7,FALSE)</f>
        <v>0.00</v>
      </c>
      <c r="G680" t="str">
        <f>VLOOKUP(A680,Datos!$A$2:$H$1084,8,FALSE)</f>
        <v>0.04</v>
      </c>
    </row>
    <row r="681" spans="1:7" x14ac:dyDescent="0.3">
      <c r="A681" s="1">
        <v>808455</v>
      </c>
      <c r="B681" t="str">
        <f>VLOOKUP(A681,Datos!$A$2:$H$1084,3,FALSE)</f>
        <v>26.44</v>
      </c>
      <c r="C681" t="str">
        <f>VLOOKUP(A681,Datos!$A$2:$H$1084,4,FALSE)</f>
        <v>0.00</v>
      </c>
      <c r="D681" t="str">
        <f>VLOOKUP(A681,Datos!$A$2:$H$1084,5,FALSE)</f>
        <v>0.01</v>
      </c>
      <c r="E681" t="str">
        <f>VLOOKUP(A681,Datos!$A$2:$H$1084,6,FALSE)</f>
        <v>20.86</v>
      </c>
      <c r="F681" t="str">
        <f>VLOOKUP(A681,Datos!$A$2:$H$1084,7,FALSE)</f>
        <v>0.00</v>
      </c>
      <c r="G681" t="str">
        <f>VLOOKUP(A681,Datos!$A$2:$H$1084,8,FALSE)</f>
        <v>0.00</v>
      </c>
    </row>
    <row r="682" spans="1:7" x14ac:dyDescent="0.3">
      <c r="A682" s="1">
        <v>486657</v>
      </c>
      <c r="B682" t="str">
        <f>VLOOKUP(A682,Datos!$A$2:$H$1084,3,FALSE)</f>
        <v>85.23</v>
      </c>
      <c r="C682" t="str">
        <f>VLOOKUP(A682,Datos!$A$2:$H$1084,4,FALSE)</f>
        <v>0.00</v>
      </c>
      <c r="D682" t="str">
        <f>VLOOKUP(A682,Datos!$A$2:$H$1084,5,FALSE)</f>
        <v>2.44</v>
      </c>
      <c r="E682" t="str">
        <f>VLOOKUP(A682,Datos!$A$2:$H$1084,6,FALSE)</f>
        <v>5.80</v>
      </c>
      <c r="F682" t="str">
        <f>VLOOKUP(A682,Datos!$A$2:$H$1084,7,FALSE)</f>
        <v>0.00</v>
      </c>
      <c r="G682" t="str">
        <f>VLOOKUP(A682,Datos!$A$2:$H$1084,8,FALSE)</f>
        <v>0.27</v>
      </c>
    </row>
    <row r="683" spans="1:7" x14ac:dyDescent="0.3">
      <c r="A683" s="1">
        <v>45838</v>
      </c>
      <c r="B683" t="str">
        <f>VLOOKUP(A683,Datos!$A$2:$H$1084,3,FALSE)</f>
        <v>37.43</v>
      </c>
      <c r="C683" t="str">
        <f>VLOOKUP(A683,Datos!$A$2:$H$1084,4,FALSE)</f>
        <v>0.00</v>
      </c>
      <c r="D683" t="str">
        <f>VLOOKUP(A683,Datos!$A$2:$H$1084,5,FALSE)</f>
        <v>0.41</v>
      </c>
      <c r="E683" t="str">
        <f>VLOOKUP(A683,Datos!$A$2:$H$1084,6,FALSE)</f>
        <v>6.68</v>
      </c>
      <c r="F683" t="str">
        <f>VLOOKUP(A683,Datos!$A$2:$H$1084,7,FALSE)</f>
        <v>0.00</v>
      </c>
      <c r="G683" t="str">
        <f>VLOOKUP(A683,Datos!$A$2:$H$1084,8,FALSE)</f>
        <v>0.04</v>
      </c>
    </row>
    <row r="684" spans="1:7" x14ac:dyDescent="0.3">
      <c r="A684" s="1">
        <v>815446</v>
      </c>
      <c r="B684" t="str">
        <f>VLOOKUP(A684,Datos!$A$2:$H$1084,3,FALSE)</f>
        <v>49.73</v>
      </c>
      <c r="C684" t="str">
        <f>VLOOKUP(A684,Datos!$A$2:$H$1084,4,FALSE)</f>
        <v>0.00</v>
      </c>
      <c r="D684" t="str">
        <f>VLOOKUP(A684,Datos!$A$2:$H$1084,5,FALSE)</f>
        <v>0.74</v>
      </c>
      <c r="E684" t="str">
        <f>VLOOKUP(A684,Datos!$A$2:$H$1084,6,FALSE)</f>
        <v>22.22</v>
      </c>
      <c r="F684" t="str">
        <f>VLOOKUP(A684,Datos!$A$2:$H$1084,7,FALSE)</f>
        <v>0.00</v>
      </c>
      <c r="G684" t="str">
        <f>VLOOKUP(A684,Datos!$A$2:$H$1084,8,FALSE)</f>
        <v>0.10</v>
      </c>
    </row>
    <row r="685" spans="1:7" x14ac:dyDescent="0.3">
      <c r="A685" s="1">
        <v>150607</v>
      </c>
      <c r="B685" t="str">
        <f>VLOOKUP(A685,Datos!$A$2:$H$1084,3,FALSE)</f>
        <v>40.21</v>
      </c>
      <c r="C685" t="str">
        <f>VLOOKUP(A685,Datos!$A$2:$H$1084,4,FALSE)</f>
        <v>0.00</v>
      </c>
      <c r="D685" t="str">
        <f>VLOOKUP(A685,Datos!$A$2:$H$1084,5,FALSE)</f>
        <v>0.51</v>
      </c>
      <c r="E685" t="str">
        <f>VLOOKUP(A685,Datos!$A$2:$H$1084,6,FALSE)</f>
        <v>29.36</v>
      </c>
      <c r="F685" t="str">
        <f>VLOOKUP(A685,Datos!$A$2:$H$1084,7,FALSE)</f>
        <v>0.00</v>
      </c>
      <c r="G685" t="str">
        <f>VLOOKUP(A685,Datos!$A$2:$H$1084,8,FALSE)</f>
        <v>0.04</v>
      </c>
    </row>
    <row r="686" spans="1:7" x14ac:dyDescent="0.3">
      <c r="A686" s="1">
        <v>150551</v>
      </c>
      <c r="B686" t="str">
        <f>VLOOKUP(A686,Datos!$A$2:$H$1084,3,FALSE)</f>
        <v>43.98</v>
      </c>
      <c r="C686" t="str">
        <f>VLOOKUP(A686,Datos!$A$2:$H$1084,4,FALSE)</f>
        <v>0.00</v>
      </c>
      <c r="D686" t="str">
        <f>VLOOKUP(A686,Datos!$A$2:$H$1084,5,FALSE)</f>
        <v>0.43</v>
      </c>
      <c r="E686" t="str">
        <f>VLOOKUP(A686,Datos!$A$2:$H$1084,6,FALSE)</f>
        <v>2.36</v>
      </c>
      <c r="F686" t="str">
        <f>VLOOKUP(A686,Datos!$A$2:$H$1084,7,FALSE)</f>
        <v>0.00</v>
      </c>
      <c r="G686" t="str">
        <f>VLOOKUP(A686,Datos!$A$2:$H$1084,8,FALSE)</f>
        <v>0.01</v>
      </c>
    </row>
    <row r="687" spans="1:7" x14ac:dyDescent="0.3">
      <c r="A687" s="1">
        <v>87362</v>
      </c>
      <c r="B687" t="str">
        <f>VLOOKUP(A687,Datos!$A$2:$H$1084,3,FALSE)</f>
        <v>45.90</v>
      </c>
      <c r="C687" t="str">
        <f>VLOOKUP(A687,Datos!$A$2:$H$1084,4,FALSE)</f>
        <v>0.00</v>
      </c>
      <c r="D687" t="str">
        <f>VLOOKUP(A687,Datos!$A$2:$H$1084,5,FALSE)</f>
        <v>0.17</v>
      </c>
      <c r="E687" t="str">
        <f>VLOOKUP(A687,Datos!$A$2:$H$1084,6,FALSE)</f>
        <v>11.13</v>
      </c>
      <c r="F687" t="str">
        <f>VLOOKUP(A687,Datos!$A$2:$H$1084,7,FALSE)</f>
        <v>0.00</v>
      </c>
      <c r="G687" t="str">
        <f>VLOOKUP(A687,Datos!$A$2:$H$1084,8,FALSE)</f>
        <v>0.04</v>
      </c>
    </row>
    <row r="688" spans="1:7" x14ac:dyDescent="0.3">
      <c r="A688" s="1">
        <v>61041</v>
      </c>
      <c r="B688" t="str">
        <f>VLOOKUP(A688,Datos!$A$2:$H$1084,3,FALSE)</f>
        <v>12.83</v>
      </c>
      <c r="C688" t="str">
        <f>VLOOKUP(A688,Datos!$A$2:$H$1084,4,FALSE)</f>
        <v>0.00</v>
      </c>
      <c r="D688" t="str">
        <f>VLOOKUP(A688,Datos!$A$2:$H$1084,5,FALSE)</f>
        <v>0.01</v>
      </c>
      <c r="E688" t="str">
        <f>VLOOKUP(A688,Datos!$A$2:$H$1084,6,FALSE)</f>
        <v>1.62</v>
      </c>
      <c r="F688" t="str">
        <f>VLOOKUP(A688,Datos!$A$2:$H$1084,7,FALSE)</f>
        <v>0.00</v>
      </c>
      <c r="G688" t="str">
        <f>VLOOKUP(A688,Datos!$A$2:$H$1084,8,FALSE)</f>
        <v>0.00</v>
      </c>
    </row>
    <row r="689" spans="1:7" x14ac:dyDescent="0.3">
      <c r="A689" s="1">
        <v>572867</v>
      </c>
      <c r="B689" t="str">
        <f>VLOOKUP(A689,Datos!$A$2:$H$1084,3,FALSE)</f>
        <v>62.75</v>
      </c>
      <c r="C689" t="str">
        <f>VLOOKUP(A689,Datos!$A$2:$H$1084,4,FALSE)</f>
        <v>0.00</v>
      </c>
      <c r="D689" t="str">
        <f>VLOOKUP(A689,Datos!$A$2:$H$1084,5,FALSE)</f>
        <v>0.03</v>
      </c>
      <c r="E689" t="str">
        <f>VLOOKUP(A689,Datos!$A$2:$H$1084,6,FALSE)</f>
        <v>7.16</v>
      </c>
      <c r="F689" t="str">
        <f>VLOOKUP(A689,Datos!$A$2:$H$1084,7,FALSE)</f>
        <v>0.00</v>
      </c>
      <c r="G689" t="str">
        <f>VLOOKUP(A689,Datos!$A$2:$H$1084,8,FALSE)</f>
        <v>0.01</v>
      </c>
    </row>
    <row r="690" spans="1:7" x14ac:dyDescent="0.3">
      <c r="A690" s="1">
        <v>441273</v>
      </c>
      <c r="B690" t="str">
        <f>VLOOKUP(A690,Datos!$A$2:$H$1084,3,FALSE)</f>
        <v>24.12</v>
      </c>
      <c r="C690" t="str">
        <f>VLOOKUP(A690,Datos!$A$2:$H$1084,4,FALSE)</f>
        <v>0.00</v>
      </c>
      <c r="D690" t="str">
        <f>VLOOKUP(A690,Datos!$A$2:$H$1084,5,FALSE)</f>
        <v>0.07</v>
      </c>
      <c r="E690" t="str">
        <f>VLOOKUP(A690,Datos!$A$2:$H$1084,6,FALSE)</f>
        <v>13.78</v>
      </c>
      <c r="F690" t="str">
        <f>VLOOKUP(A690,Datos!$A$2:$H$1084,7,FALSE)</f>
        <v>0.00</v>
      </c>
      <c r="G690" t="str">
        <f>VLOOKUP(A690,Datos!$A$2:$H$1084,8,FALSE)</f>
        <v>0.01</v>
      </c>
    </row>
    <row r="691" spans="1:7" x14ac:dyDescent="0.3">
      <c r="A691" s="1">
        <v>547241</v>
      </c>
      <c r="B691" t="str">
        <f>VLOOKUP(A691,Datos!$A$2:$H$1084,3,FALSE)</f>
        <v>33.70</v>
      </c>
      <c r="C691" t="str">
        <f>VLOOKUP(A691,Datos!$A$2:$H$1084,4,FALSE)</f>
        <v>0.01</v>
      </c>
      <c r="D691" t="str">
        <f>VLOOKUP(A691,Datos!$A$2:$H$1084,5,FALSE)</f>
        <v>0.24</v>
      </c>
      <c r="E691" t="str">
        <f>VLOOKUP(A691,Datos!$A$2:$H$1084,6,FALSE)</f>
        <v>8.71</v>
      </c>
      <c r="F691" t="str">
        <f>VLOOKUP(A691,Datos!$A$2:$H$1084,7,FALSE)</f>
        <v>0.01</v>
      </c>
      <c r="G691" t="str">
        <f>VLOOKUP(A691,Datos!$A$2:$H$1084,8,FALSE)</f>
        <v>0.03</v>
      </c>
    </row>
    <row r="692" spans="1:7" x14ac:dyDescent="0.3">
      <c r="A692" s="1">
        <v>443818</v>
      </c>
      <c r="B692" t="str">
        <f>VLOOKUP(A692,Datos!$A$2:$H$1084,3,FALSE)</f>
        <v>87.93</v>
      </c>
      <c r="C692" t="str">
        <f>VLOOKUP(A692,Datos!$A$2:$H$1084,4,FALSE)</f>
        <v>0.00</v>
      </c>
      <c r="D692" t="str">
        <f>VLOOKUP(A692,Datos!$A$2:$H$1084,5,FALSE)</f>
        <v>0.61</v>
      </c>
      <c r="E692" t="str">
        <f>VLOOKUP(A692,Datos!$A$2:$H$1084,6,FALSE)</f>
        <v>37.67</v>
      </c>
      <c r="F692" t="str">
        <f>VLOOKUP(A692,Datos!$A$2:$H$1084,7,FALSE)</f>
        <v>0.00</v>
      </c>
      <c r="G692" t="str">
        <f>VLOOKUP(A692,Datos!$A$2:$H$1084,8,FALSE)</f>
        <v>0.15</v>
      </c>
    </row>
    <row r="693" spans="1:7" x14ac:dyDescent="0.3">
      <c r="A693" s="1">
        <v>462557</v>
      </c>
      <c r="B693" t="str">
        <f>VLOOKUP(A693,Datos!$A$2:$H$1084,3,FALSE)</f>
        <v>73.69</v>
      </c>
      <c r="C693" t="str">
        <f>VLOOKUP(A693,Datos!$A$2:$H$1084,4,FALSE)</f>
        <v>0.00</v>
      </c>
      <c r="D693" t="str">
        <f>VLOOKUP(A693,Datos!$A$2:$H$1084,5,FALSE)</f>
        <v>0.64</v>
      </c>
      <c r="E693" t="str">
        <f>VLOOKUP(A693,Datos!$A$2:$H$1084,6,FALSE)</f>
        <v>4.12</v>
      </c>
      <c r="F693" t="str">
        <f>VLOOKUP(A693,Datos!$A$2:$H$1084,7,FALSE)</f>
        <v>0.00</v>
      </c>
      <c r="G693" t="str">
        <f>VLOOKUP(A693,Datos!$A$2:$H$1084,8,FALSE)</f>
        <v>0.05</v>
      </c>
    </row>
    <row r="694" spans="1:7" x14ac:dyDescent="0.3">
      <c r="A694" s="1">
        <v>459140</v>
      </c>
      <c r="B694" t="str">
        <f>VLOOKUP(A694,Datos!$A$2:$H$1084,3,FALSE)</f>
        <v>126.76</v>
      </c>
      <c r="C694" t="str">
        <f>VLOOKUP(A694,Datos!$A$2:$H$1084,4,FALSE)</f>
        <v>0.00</v>
      </c>
      <c r="D694" t="str">
        <f>VLOOKUP(A694,Datos!$A$2:$H$1084,5,FALSE)</f>
        <v>0.48</v>
      </c>
      <c r="E694" t="str">
        <f>VLOOKUP(A694,Datos!$A$2:$H$1084,6,FALSE)</f>
        <v>6.69</v>
      </c>
      <c r="F694" t="str">
        <f>VLOOKUP(A694,Datos!$A$2:$H$1084,7,FALSE)</f>
        <v>0.00</v>
      </c>
      <c r="G694" t="str">
        <f>VLOOKUP(A694,Datos!$A$2:$H$1084,8,FALSE)</f>
        <v>0.04</v>
      </c>
    </row>
    <row r="695" spans="1:7" x14ac:dyDescent="0.3">
      <c r="A695" s="1">
        <v>396968</v>
      </c>
      <c r="B695" t="str">
        <f>VLOOKUP(A695,Datos!$A$2:$H$1084,3,FALSE)</f>
        <v>39.95</v>
      </c>
      <c r="C695" t="str">
        <f>VLOOKUP(A695,Datos!$A$2:$H$1084,4,FALSE)</f>
        <v>0.00</v>
      </c>
      <c r="D695" t="str">
        <f>VLOOKUP(A695,Datos!$A$2:$H$1084,5,FALSE)</f>
        <v>0.03</v>
      </c>
      <c r="E695" t="str">
        <f>VLOOKUP(A695,Datos!$A$2:$H$1084,6,FALSE)</f>
        <v>1.82</v>
      </c>
      <c r="F695" t="str">
        <f>VLOOKUP(A695,Datos!$A$2:$H$1084,7,FALSE)</f>
        <v>0.00</v>
      </c>
      <c r="G695" t="str">
        <f>VLOOKUP(A695,Datos!$A$2:$H$1084,8,FALSE)</f>
        <v>0.01</v>
      </c>
    </row>
    <row r="696" spans="1:7" x14ac:dyDescent="0.3">
      <c r="A696" s="1">
        <v>558753</v>
      </c>
      <c r="B696" t="str">
        <f>VLOOKUP(A696,Datos!$A$2:$H$1084,3,FALSE)</f>
        <v>72.65</v>
      </c>
      <c r="C696" t="str">
        <f>VLOOKUP(A696,Datos!$A$2:$H$1084,4,FALSE)</f>
        <v>0.00</v>
      </c>
      <c r="D696" t="str">
        <f>VLOOKUP(A696,Datos!$A$2:$H$1084,5,FALSE)</f>
        <v>0.35</v>
      </c>
      <c r="E696" t="str">
        <f>VLOOKUP(A696,Datos!$A$2:$H$1084,6,FALSE)</f>
        <v>5.85</v>
      </c>
      <c r="F696" t="str">
        <f>VLOOKUP(A696,Datos!$A$2:$H$1084,7,FALSE)</f>
        <v>0.00</v>
      </c>
      <c r="G696" t="str">
        <f>VLOOKUP(A696,Datos!$A$2:$H$1084,8,FALSE)</f>
        <v>0.03</v>
      </c>
    </row>
    <row r="697" spans="1:7" x14ac:dyDescent="0.3">
      <c r="A697" s="1">
        <v>487906</v>
      </c>
      <c r="B697" t="str">
        <f>VLOOKUP(A697,Datos!$A$2:$H$1084,3,FALSE)</f>
        <v>18.15</v>
      </c>
      <c r="C697" t="str">
        <f>VLOOKUP(A697,Datos!$A$2:$H$1084,4,FALSE)</f>
        <v>0.00</v>
      </c>
      <c r="D697" t="str">
        <f>VLOOKUP(A697,Datos!$A$2:$H$1084,5,FALSE)</f>
        <v>0.01</v>
      </c>
      <c r="E697" t="str">
        <f>VLOOKUP(A697,Datos!$A$2:$H$1084,6,FALSE)</f>
        <v>3.18</v>
      </c>
      <c r="F697" t="str">
        <f>VLOOKUP(A697,Datos!$A$2:$H$1084,7,FALSE)</f>
        <v>0.00</v>
      </c>
      <c r="G697" t="str">
        <f>VLOOKUP(A697,Datos!$A$2:$H$1084,8,FALSE)</f>
        <v>0.00</v>
      </c>
    </row>
    <row r="698" spans="1:7" x14ac:dyDescent="0.3">
      <c r="A698" s="1">
        <v>396893</v>
      </c>
      <c r="B698" t="str">
        <f>VLOOKUP(A698,Datos!$A$2:$H$1084,3,FALSE)</f>
        <v>25.60</v>
      </c>
      <c r="C698" t="str">
        <f>VLOOKUP(A698,Datos!$A$2:$H$1084,4,FALSE)</f>
        <v>0.00</v>
      </c>
      <c r="D698" t="str">
        <f>VLOOKUP(A698,Datos!$A$2:$H$1084,5,FALSE)</f>
        <v>0.02</v>
      </c>
      <c r="E698" t="str">
        <f>VLOOKUP(A698,Datos!$A$2:$H$1084,6,FALSE)</f>
        <v>7.56</v>
      </c>
      <c r="F698" t="str">
        <f>VLOOKUP(A698,Datos!$A$2:$H$1084,7,FALSE)</f>
        <v>0.00</v>
      </c>
      <c r="G698" t="str">
        <f>VLOOKUP(A698,Datos!$A$2:$H$1084,8,FALSE)</f>
        <v>0.01</v>
      </c>
    </row>
    <row r="699" spans="1:7" x14ac:dyDescent="0.3">
      <c r="A699" s="1">
        <v>465297</v>
      </c>
      <c r="B699" t="str">
        <f>VLOOKUP(A699,Datos!$A$2:$H$1084,3,FALSE)</f>
        <v>48.31</v>
      </c>
      <c r="C699" t="str">
        <f>VLOOKUP(A699,Datos!$A$2:$H$1084,4,FALSE)</f>
        <v>0.00</v>
      </c>
      <c r="D699" t="str">
        <f>VLOOKUP(A699,Datos!$A$2:$H$1084,5,FALSE)</f>
        <v>0.14</v>
      </c>
      <c r="E699" t="str">
        <f>VLOOKUP(A699,Datos!$A$2:$H$1084,6,FALSE)</f>
        <v>48.62</v>
      </c>
      <c r="F699" t="str">
        <f>VLOOKUP(A699,Datos!$A$2:$H$1084,7,FALSE)</f>
        <v>0.00</v>
      </c>
      <c r="G699" t="str">
        <f>VLOOKUP(A699,Datos!$A$2:$H$1084,8,FALSE)</f>
        <v>0.07</v>
      </c>
    </row>
    <row r="700" spans="1:7" x14ac:dyDescent="0.3">
      <c r="A700" s="1">
        <v>89016</v>
      </c>
      <c r="B700" t="str">
        <f>VLOOKUP(A700,Datos!$A$2:$H$1084,3,FALSE)</f>
        <v>53.01</v>
      </c>
      <c r="C700" t="str">
        <f>VLOOKUP(A700,Datos!$A$2:$H$1084,4,FALSE)</f>
        <v>0.00</v>
      </c>
      <c r="D700" t="str">
        <f>VLOOKUP(A700,Datos!$A$2:$H$1084,5,FALSE)</f>
        <v>0.18</v>
      </c>
      <c r="E700" t="str">
        <f>VLOOKUP(A700,Datos!$A$2:$H$1084,6,FALSE)</f>
        <v>14.60</v>
      </c>
      <c r="F700" t="str">
        <f>VLOOKUP(A700,Datos!$A$2:$H$1084,7,FALSE)</f>
        <v>0.00</v>
      </c>
      <c r="G700" t="str">
        <f>VLOOKUP(A700,Datos!$A$2:$H$1084,8,FALSE)</f>
        <v>0.03</v>
      </c>
    </row>
    <row r="701" spans="1:7" x14ac:dyDescent="0.3">
      <c r="A701" s="1">
        <v>72940</v>
      </c>
      <c r="B701" t="str">
        <f>VLOOKUP(A701,Datos!$A$2:$H$1084,3,FALSE)</f>
        <v>42.84</v>
      </c>
      <c r="C701" t="str">
        <f>VLOOKUP(A701,Datos!$A$2:$H$1084,4,FALSE)</f>
        <v>0.01</v>
      </c>
      <c r="D701" t="str">
        <f>VLOOKUP(A701,Datos!$A$2:$H$1084,5,FALSE)</f>
        <v>0.51</v>
      </c>
      <c r="E701" t="str">
        <f>VLOOKUP(A701,Datos!$A$2:$H$1084,6,FALSE)</f>
        <v>2.66</v>
      </c>
      <c r="F701" t="str">
        <f>VLOOKUP(A701,Datos!$A$2:$H$1084,7,FALSE)</f>
        <v>0.01</v>
      </c>
      <c r="G701" t="str">
        <f>VLOOKUP(A701,Datos!$A$2:$H$1084,8,FALSE)</f>
        <v>0.04</v>
      </c>
    </row>
    <row r="702" spans="1:7" x14ac:dyDescent="0.3">
      <c r="A702" s="1">
        <v>808653</v>
      </c>
      <c r="B702" t="str">
        <f>VLOOKUP(A702,Datos!$A$2:$H$1084,3,FALSE)</f>
        <v>58.64</v>
      </c>
      <c r="C702" t="str">
        <f>VLOOKUP(A702,Datos!$A$2:$H$1084,4,FALSE)</f>
        <v>0.00</v>
      </c>
      <c r="D702" t="str">
        <f>VLOOKUP(A702,Datos!$A$2:$H$1084,5,FALSE)</f>
        <v>0.48</v>
      </c>
      <c r="E702" t="str">
        <f>VLOOKUP(A702,Datos!$A$2:$H$1084,6,FALSE)</f>
        <v>7.16</v>
      </c>
      <c r="F702" t="str">
        <f>VLOOKUP(A702,Datos!$A$2:$H$1084,7,FALSE)</f>
        <v>0.00</v>
      </c>
      <c r="G702" t="str">
        <f>VLOOKUP(A702,Datos!$A$2:$H$1084,8,FALSE)</f>
        <v>0.05</v>
      </c>
    </row>
    <row r="703" spans="1:7" x14ac:dyDescent="0.3">
      <c r="A703" s="1">
        <v>148148</v>
      </c>
      <c r="B703" t="str">
        <f>VLOOKUP(A703,Datos!$A$2:$H$1084,3,FALSE)</f>
        <v>35.08</v>
      </c>
      <c r="C703" t="str">
        <f>VLOOKUP(A703,Datos!$A$2:$H$1084,4,FALSE)</f>
        <v>0.01</v>
      </c>
      <c r="D703" t="str">
        <f>VLOOKUP(A703,Datos!$A$2:$H$1084,5,FALSE)</f>
        <v>0.06</v>
      </c>
      <c r="E703" t="str">
        <f>VLOOKUP(A703,Datos!$A$2:$H$1084,6,FALSE)</f>
        <v>11.32</v>
      </c>
      <c r="F703" t="str">
        <f>VLOOKUP(A703,Datos!$A$2:$H$1084,7,FALSE)</f>
        <v>0.01</v>
      </c>
      <c r="G703" t="str">
        <f>VLOOKUP(A703,Datos!$A$2:$H$1084,8,FALSE)</f>
        <v>0.02</v>
      </c>
    </row>
    <row r="704" spans="1:7" x14ac:dyDescent="0.3">
      <c r="A704" s="1">
        <v>159132</v>
      </c>
      <c r="B704" t="str">
        <f>VLOOKUP(A704,Datos!$A$2:$H$1084,3,FALSE)</f>
        <v>142.34</v>
      </c>
      <c r="C704" t="str">
        <f>VLOOKUP(A704,Datos!$A$2:$H$1084,4,FALSE)</f>
        <v>0.00</v>
      </c>
      <c r="D704" t="str">
        <f>VLOOKUP(A704,Datos!$A$2:$H$1084,5,FALSE)</f>
        <v>0.40</v>
      </c>
      <c r="E704" t="str">
        <f>VLOOKUP(A704,Datos!$A$2:$H$1084,6,FALSE)</f>
        <v>11.28</v>
      </c>
      <c r="F704" t="str">
        <f>VLOOKUP(A704,Datos!$A$2:$H$1084,7,FALSE)</f>
        <v>0.00</v>
      </c>
      <c r="G704" t="str">
        <f>VLOOKUP(A704,Datos!$A$2:$H$1084,8,FALSE)</f>
        <v>0.03</v>
      </c>
    </row>
    <row r="705" spans="1:7" x14ac:dyDescent="0.3">
      <c r="A705" s="1">
        <v>148544</v>
      </c>
      <c r="B705" t="str">
        <f>VLOOKUP(A705,Datos!$A$2:$H$1084,3,FALSE)</f>
        <v>18.01</v>
      </c>
      <c r="C705" t="str">
        <f>VLOOKUP(A705,Datos!$A$2:$H$1084,4,FALSE)</f>
        <v>0.00</v>
      </c>
      <c r="D705" t="str">
        <f>VLOOKUP(A705,Datos!$A$2:$H$1084,5,FALSE)</f>
        <v>0.02</v>
      </c>
      <c r="E705" t="str">
        <f>VLOOKUP(A705,Datos!$A$2:$H$1084,6,FALSE)</f>
        <v>13.70</v>
      </c>
      <c r="F705" t="str">
        <f>VLOOKUP(A705,Datos!$A$2:$H$1084,7,FALSE)</f>
        <v>0.00</v>
      </c>
      <c r="G705" t="str">
        <f>VLOOKUP(A705,Datos!$A$2:$H$1084,8,FALSE)</f>
        <v>0.01</v>
      </c>
    </row>
    <row r="706" spans="1:7" x14ac:dyDescent="0.3">
      <c r="A706" s="1">
        <v>458843</v>
      </c>
      <c r="B706" t="str">
        <f>VLOOKUP(A706,Datos!$A$2:$H$1084,3,FALSE)</f>
        <v>55.42</v>
      </c>
      <c r="C706" t="str">
        <f>VLOOKUP(A706,Datos!$A$2:$H$1084,4,FALSE)</f>
        <v>0.01</v>
      </c>
      <c r="D706" t="str">
        <f>VLOOKUP(A706,Datos!$A$2:$H$1084,5,FALSE)</f>
        <v>0.47</v>
      </c>
      <c r="E706" t="str">
        <f>VLOOKUP(A706,Datos!$A$2:$H$1084,6,FALSE)</f>
        <v>6.06</v>
      </c>
      <c r="F706" t="str">
        <f>VLOOKUP(A706,Datos!$A$2:$H$1084,7,FALSE)</f>
        <v>0.01</v>
      </c>
      <c r="G706" t="str">
        <f>VLOOKUP(A706,Datos!$A$2:$H$1084,8,FALSE)</f>
        <v>0.04</v>
      </c>
    </row>
    <row r="707" spans="1:7" x14ac:dyDescent="0.3">
      <c r="A707" s="1">
        <v>441348</v>
      </c>
      <c r="B707" t="str">
        <f>VLOOKUP(A707,Datos!$A$2:$H$1084,3,FALSE)</f>
        <v>169.66</v>
      </c>
      <c r="C707" t="str">
        <f>VLOOKUP(A707,Datos!$A$2:$H$1084,4,FALSE)</f>
        <v>0.00</v>
      </c>
      <c r="D707" t="str">
        <f>VLOOKUP(A707,Datos!$A$2:$H$1084,5,FALSE)</f>
        <v>1.16</v>
      </c>
      <c r="E707" t="str">
        <f>VLOOKUP(A707,Datos!$A$2:$H$1084,6,FALSE)</f>
        <v>13.32</v>
      </c>
      <c r="F707" t="str">
        <f>VLOOKUP(A707,Datos!$A$2:$H$1084,7,FALSE)</f>
        <v>0.00</v>
      </c>
      <c r="G707" t="str">
        <f>VLOOKUP(A707,Datos!$A$2:$H$1084,8,FALSE)</f>
        <v>0.07</v>
      </c>
    </row>
    <row r="708" spans="1:7" x14ac:dyDescent="0.3">
      <c r="A708" s="1">
        <v>168264</v>
      </c>
      <c r="B708" t="str">
        <f>VLOOKUP(A708,Datos!$A$2:$H$1084,3,FALSE)</f>
        <v>64.76</v>
      </c>
      <c r="C708" t="str">
        <f>VLOOKUP(A708,Datos!$A$2:$H$1084,4,FALSE)</f>
        <v>0.00</v>
      </c>
      <c r="D708" t="str">
        <f>VLOOKUP(A708,Datos!$A$2:$H$1084,5,FALSE)</f>
        <v>0.60</v>
      </c>
      <c r="E708" t="str">
        <f>VLOOKUP(A708,Datos!$A$2:$H$1084,6,FALSE)</f>
        <v>20.38</v>
      </c>
      <c r="F708" t="str">
        <f>VLOOKUP(A708,Datos!$A$2:$H$1084,7,FALSE)</f>
        <v>0.00</v>
      </c>
      <c r="G708" t="str">
        <f>VLOOKUP(A708,Datos!$A$2:$H$1084,8,FALSE)</f>
        <v>0.09</v>
      </c>
    </row>
    <row r="709" spans="1:7" x14ac:dyDescent="0.3">
      <c r="A709" s="1">
        <v>149586</v>
      </c>
      <c r="B709" t="str">
        <f>VLOOKUP(A709,Datos!$A$2:$H$1084,3,FALSE)</f>
        <v>46.30</v>
      </c>
      <c r="C709" t="str">
        <f>VLOOKUP(A709,Datos!$A$2:$H$1084,4,FALSE)</f>
        <v>0.00</v>
      </c>
      <c r="D709" t="str">
        <f>VLOOKUP(A709,Datos!$A$2:$H$1084,5,FALSE)</f>
        <v>0.07</v>
      </c>
      <c r="E709" t="str">
        <f>VLOOKUP(A709,Datos!$A$2:$H$1084,6,FALSE)</f>
        <v>5.12</v>
      </c>
      <c r="F709" t="str">
        <f>VLOOKUP(A709,Datos!$A$2:$H$1084,7,FALSE)</f>
        <v>0.00</v>
      </c>
      <c r="G709" t="str">
        <f>VLOOKUP(A709,Datos!$A$2:$H$1084,8,FALSE)</f>
        <v>0.01</v>
      </c>
    </row>
    <row r="710" spans="1:7" x14ac:dyDescent="0.3">
      <c r="A710" s="1">
        <v>459673</v>
      </c>
      <c r="B710" t="str">
        <f>VLOOKUP(A710,Datos!$A$2:$H$1084,3,FALSE)</f>
        <v>34.30</v>
      </c>
      <c r="C710" t="str">
        <f>VLOOKUP(A710,Datos!$A$2:$H$1084,4,FALSE)</f>
        <v>0.00</v>
      </c>
      <c r="D710" t="str">
        <f>VLOOKUP(A710,Datos!$A$2:$H$1084,5,FALSE)</f>
        <v>0.11</v>
      </c>
      <c r="E710" t="str">
        <f>VLOOKUP(A710,Datos!$A$2:$H$1084,6,FALSE)</f>
        <v>3.74</v>
      </c>
      <c r="F710" t="str">
        <f>VLOOKUP(A710,Datos!$A$2:$H$1084,7,FALSE)</f>
        <v>0.00</v>
      </c>
      <c r="G710" t="str">
        <f>VLOOKUP(A710,Datos!$A$2:$H$1084,8,FALSE)</f>
        <v>0.01</v>
      </c>
    </row>
    <row r="711" spans="1:7" x14ac:dyDescent="0.3">
      <c r="A711" s="1">
        <v>49681</v>
      </c>
      <c r="B711" t="str">
        <f>VLOOKUP(A711,Datos!$A$2:$H$1084,3,FALSE)</f>
        <v>40.76</v>
      </c>
      <c r="C711" t="str">
        <f>VLOOKUP(A711,Datos!$A$2:$H$1084,4,FALSE)</f>
        <v>0.00</v>
      </c>
      <c r="D711" t="str">
        <f>VLOOKUP(A711,Datos!$A$2:$H$1084,5,FALSE)</f>
        <v>0.37</v>
      </c>
      <c r="E711" t="str">
        <f>VLOOKUP(A711,Datos!$A$2:$H$1084,6,FALSE)</f>
        <v>5.66</v>
      </c>
      <c r="F711" t="str">
        <f>VLOOKUP(A711,Datos!$A$2:$H$1084,7,FALSE)</f>
        <v>0.00</v>
      </c>
      <c r="G711" t="str">
        <f>VLOOKUP(A711,Datos!$A$2:$H$1084,8,FALSE)</f>
        <v>0.03</v>
      </c>
    </row>
    <row r="712" spans="1:7" x14ac:dyDescent="0.3">
      <c r="A712" s="1">
        <v>463316</v>
      </c>
      <c r="B712" t="str">
        <f>VLOOKUP(A712,Datos!$A$2:$H$1084,3,FALSE)</f>
        <v>68.80</v>
      </c>
      <c r="C712" t="str">
        <f>VLOOKUP(A712,Datos!$A$2:$H$1084,4,FALSE)</f>
        <v>0.00</v>
      </c>
      <c r="D712" t="str">
        <f>VLOOKUP(A712,Datos!$A$2:$H$1084,5,FALSE)</f>
        <v>0.43</v>
      </c>
      <c r="E712" t="str">
        <f>VLOOKUP(A712,Datos!$A$2:$H$1084,6,FALSE)</f>
        <v>4.65</v>
      </c>
      <c r="F712" t="str">
        <f>VLOOKUP(A712,Datos!$A$2:$H$1084,7,FALSE)</f>
        <v>0.00</v>
      </c>
      <c r="G712" t="str">
        <f>VLOOKUP(A712,Datos!$A$2:$H$1084,8,FALSE)</f>
        <v>0.04</v>
      </c>
    </row>
    <row r="713" spans="1:7" x14ac:dyDescent="0.3">
      <c r="A713" s="1">
        <v>486723</v>
      </c>
      <c r="B713" t="str">
        <f>VLOOKUP(A713,Datos!$A$2:$H$1084,3,FALSE)</f>
        <v>105.28</v>
      </c>
      <c r="C713" t="str">
        <f>VLOOKUP(A713,Datos!$A$2:$H$1084,4,FALSE)</f>
        <v>0.00</v>
      </c>
      <c r="D713" t="str">
        <f>VLOOKUP(A713,Datos!$A$2:$H$1084,5,FALSE)</f>
        <v>0.34</v>
      </c>
      <c r="E713" t="str">
        <f>VLOOKUP(A713,Datos!$A$2:$H$1084,6,FALSE)</f>
        <v>8.44</v>
      </c>
      <c r="F713" t="str">
        <f>VLOOKUP(A713,Datos!$A$2:$H$1084,7,FALSE)</f>
        <v>0.00</v>
      </c>
      <c r="G713" t="str">
        <f>VLOOKUP(A713,Datos!$A$2:$H$1084,8,FALSE)</f>
        <v>0.02</v>
      </c>
    </row>
    <row r="714" spans="1:7" x14ac:dyDescent="0.3">
      <c r="A714" s="1">
        <v>72313</v>
      </c>
      <c r="B714" t="str">
        <f>VLOOKUP(A714,Datos!$A$2:$H$1084,3,FALSE)</f>
        <v>90.41</v>
      </c>
      <c r="C714" t="str">
        <f>VLOOKUP(A714,Datos!$A$2:$H$1084,4,FALSE)</f>
        <v>0.00</v>
      </c>
      <c r="D714" t="str">
        <f>VLOOKUP(A714,Datos!$A$2:$H$1084,5,FALSE)</f>
        <v>0.31</v>
      </c>
      <c r="E714" t="str">
        <f>VLOOKUP(A714,Datos!$A$2:$H$1084,6,FALSE)</f>
        <v>4.46</v>
      </c>
      <c r="F714" t="str">
        <f>VLOOKUP(A714,Datos!$A$2:$H$1084,7,FALSE)</f>
        <v>0.00</v>
      </c>
      <c r="G714" t="str">
        <f>VLOOKUP(A714,Datos!$A$2:$H$1084,8,FALSE)</f>
        <v>0.02</v>
      </c>
    </row>
    <row r="715" spans="1:7" x14ac:dyDescent="0.3">
      <c r="A715" s="1">
        <v>447251</v>
      </c>
      <c r="B715" t="str">
        <f>VLOOKUP(A715,Datos!$A$2:$H$1084,3,FALSE)</f>
        <v>37.57</v>
      </c>
      <c r="C715" t="str">
        <f>VLOOKUP(A715,Datos!$A$2:$H$1084,4,FALSE)</f>
        <v>0.00</v>
      </c>
      <c r="D715" t="str">
        <f>VLOOKUP(A715,Datos!$A$2:$H$1084,5,FALSE)</f>
        <v>0.21</v>
      </c>
      <c r="E715" t="str">
        <f>VLOOKUP(A715,Datos!$A$2:$H$1084,6,FALSE)</f>
        <v>11.16</v>
      </c>
      <c r="F715" t="str">
        <f>VLOOKUP(A715,Datos!$A$2:$H$1084,7,FALSE)</f>
        <v>0.00</v>
      </c>
      <c r="G715" t="str">
        <f>VLOOKUP(A715,Datos!$A$2:$H$1084,8,FALSE)</f>
        <v>0.02</v>
      </c>
    </row>
    <row r="716" spans="1:7" x14ac:dyDescent="0.3">
      <c r="A716" s="1">
        <v>486718</v>
      </c>
      <c r="B716" t="str">
        <f>VLOOKUP(A716,Datos!$A$2:$H$1084,3,FALSE)</f>
        <v>20.92</v>
      </c>
      <c r="C716" t="str">
        <f>VLOOKUP(A716,Datos!$A$2:$H$1084,4,FALSE)</f>
        <v>0.00</v>
      </c>
      <c r="D716" t="str">
        <f>VLOOKUP(A716,Datos!$A$2:$H$1084,5,FALSE)</f>
        <v>0.03</v>
      </c>
      <c r="E716" t="str">
        <f>VLOOKUP(A716,Datos!$A$2:$H$1084,6,FALSE)</f>
        <v>13.59</v>
      </c>
      <c r="F716" t="str">
        <f>VLOOKUP(A716,Datos!$A$2:$H$1084,7,FALSE)</f>
        <v>0.00</v>
      </c>
      <c r="G716" t="str">
        <f>VLOOKUP(A716,Datos!$A$2:$H$1084,8,FALSE)</f>
        <v>0.01</v>
      </c>
    </row>
    <row r="717" spans="1:7" x14ac:dyDescent="0.3">
      <c r="A717" s="1">
        <v>62979</v>
      </c>
      <c r="B717" t="str">
        <f>VLOOKUP(A717,Datos!$A$2:$H$1084,3,FALSE)</f>
        <v>25.60</v>
      </c>
      <c r="C717" t="str">
        <f>VLOOKUP(A717,Datos!$A$2:$H$1084,4,FALSE)</f>
        <v>0.00</v>
      </c>
      <c r="D717" t="str">
        <f>VLOOKUP(A717,Datos!$A$2:$H$1084,5,FALSE)</f>
        <v>0.05</v>
      </c>
      <c r="E717" t="str">
        <f>VLOOKUP(A717,Datos!$A$2:$H$1084,6,FALSE)</f>
        <v>22.27</v>
      </c>
      <c r="F717" t="str">
        <f>VLOOKUP(A717,Datos!$A$2:$H$1084,7,FALSE)</f>
        <v>0.00</v>
      </c>
      <c r="G717" t="str">
        <f>VLOOKUP(A717,Datos!$A$2:$H$1084,8,FALSE)</f>
        <v>0.01</v>
      </c>
    </row>
    <row r="718" spans="1:7" x14ac:dyDescent="0.3">
      <c r="A718" s="1">
        <v>489420</v>
      </c>
      <c r="B718" t="str">
        <f>VLOOKUP(A718,Datos!$A$2:$H$1084,3,FALSE)</f>
        <v>30.87</v>
      </c>
      <c r="C718" t="str">
        <f>VLOOKUP(A718,Datos!$A$2:$H$1084,4,FALSE)</f>
        <v>0.01</v>
      </c>
      <c r="D718" t="str">
        <f>VLOOKUP(A718,Datos!$A$2:$H$1084,5,FALSE)</f>
        <v>0.04</v>
      </c>
      <c r="E718" t="str">
        <f>VLOOKUP(A718,Datos!$A$2:$H$1084,6,FALSE)</f>
        <v>0.54</v>
      </c>
      <c r="F718" t="str">
        <f>VLOOKUP(A718,Datos!$A$2:$H$1084,7,FALSE)</f>
        <v>0.01</v>
      </c>
      <c r="G718" t="str">
        <f>VLOOKUP(A718,Datos!$A$2:$H$1084,8,FALSE)</f>
        <v>0.01</v>
      </c>
    </row>
    <row r="719" spans="1:7" x14ac:dyDescent="0.3">
      <c r="A719" s="1">
        <v>440966</v>
      </c>
      <c r="B719" t="str">
        <f>VLOOKUP(A719,Datos!$A$2:$H$1084,3,FALSE)</f>
        <v>48.59</v>
      </c>
      <c r="C719" t="str">
        <f>VLOOKUP(A719,Datos!$A$2:$H$1084,4,FALSE)</f>
        <v>0.00</v>
      </c>
      <c r="D719" t="str">
        <f>VLOOKUP(A719,Datos!$A$2:$H$1084,5,FALSE)</f>
        <v>0.08</v>
      </c>
      <c r="E719" t="str">
        <f>VLOOKUP(A719,Datos!$A$2:$H$1084,6,FALSE)</f>
        <v>8.70</v>
      </c>
      <c r="F719" t="str">
        <f>VLOOKUP(A719,Datos!$A$2:$H$1084,7,FALSE)</f>
        <v>0.00</v>
      </c>
      <c r="G719" t="str">
        <f>VLOOKUP(A719,Datos!$A$2:$H$1084,8,FALSE)</f>
        <v>0.02</v>
      </c>
    </row>
    <row r="720" spans="1:7" x14ac:dyDescent="0.3">
      <c r="A720" s="1">
        <v>238808</v>
      </c>
      <c r="B720" t="str">
        <f>VLOOKUP(A720,Datos!$A$2:$H$1084,3,FALSE)</f>
        <v>71.38</v>
      </c>
      <c r="C720" t="str">
        <f>VLOOKUP(A720,Datos!$A$2:$H$1084,4,FALSE)</f>
        <v>0.00</v>
      </c>
      <c r="D720" t="str">
        <f>VLOOKUP(A720,Datos!$A$2:$H$1084,5,FALSE)</f>
        <v>0.26</v>
      </c>
      <c r="E720" t="str">
        <f>VLOOKUP(A720,Datos!$A$2:$H$1084,6,FALSE)</f>
        <v>10.17</v>
      </c>
      <c r="F720" t="str">
        <f>VLOOKUP(A720,Datos!$A$2:$H$1084,7,FALSE)</f>
        <v>0.00</v>
      </c>
      <c r="G720" t="str">
        <f>VLOOKUP(A720,Datos!$A$2:$H$1084,8,FALSE)</f>
        <v>0.04</v>
      </c>
    </row>
    <row r="721" spans="1:7" x14ac:dyDescent="0.3">
      <c r="A721" s="1">
        <v>68429</v>
      </c>
      <c r="B721" t="str">
        <f>VLOOKUP(A721,Datos!$A$2:$H$1084,3,FALSE)</f>
        <v>0.01</v>
      </c>
      <c r="C721" t="str">
        <f>VLOOKUP(A721,Datos!$A$2:$H$1084,4,FALSE)</f>
        <v>0.00</v>
      </c>
      <c r="D721" t="str">
        <f>VLOOKUP(A721,Datos!$A$2:$H$1084,5,FALSE)</f>
        <v>0.00</v>
      </c>
      <c r="E721" t="str">
        <f>VLOOKUP(A721,Datos!$A$2:$H$1084,6,FALSE)</f>
        <v>0.02</v>
      </c>
      <c r="F721" t="str">
        <f>VLOOKUP(A721,Datos!$A$2:$H$1084,7,FALSE)</f>
        <v>0.00</v>
      </c>
      <c r="G721" t="str">
        <f>VLOOKUP(A721,Datos!$A$2:$H$1084,8,FALSE)</f>
        <v>0.00</v>
      </c>
    </row>
    <row r="722" spans="1:7" x14ac:dyDescent="0.3">
      <c r="A722" s="1">
        <v>552633</v>
      </c>
      <c r="B722" t="str">
        <f>VLOOKUP(A722,Datos!$A$2:$H$1084,3,FALSE)</f>
        <v>27.47</v>
      </c>
      <c r="C722" t="str">
        <f>VLOOKUP(A722,Datos!$A$2:$H$1084,4,FALSE)</f>
        <v>0.01</v>
      </c>
      <c r="D722" t="str">
        <f>VLOOKUP(A722,Datos!$A$2:$H$1084,5,FALSE)</f>
        <v>0.17</v>
      </c>
      <c r="E722" t="str">
        <f>VLOOKUP(A722,Datos!$A$2:$H$1084,6,FALSE)</f>
        <v>18.31</v>
      </c>
      <c r="F722" t="str">
        <f>VLOOKUP(A722,Datos!$A$2:$H$1084,7,FALSE)</f>
        <v>0.01</v>
      </c>
      <c r="G722" t="str">
        <f>VLOOKUP(A722,Datos!$A$2:$H$1084,8,FALSE)</f>
        <v>0.03</v>
      </c>
    </row>
    <row r="723" spans="1:7" x14ac:dyDescent="0.3">
      <c r="A723" s="1">
        <v>528389</v>
      </c>
      <c r="B723" t="str">
        <f>VLOOKUP(A723,Datos!$A$2:$H$1084,3,FALSE)</f>
        <v>44.84</v>
      </c>
      <c r="C723" t="str">
        <f>VLOOKUP(A723,Datos!$A$2:$H$1084,4,FALSE)</f>
        <v>0.00</v>
      </c>
      <c r="D723" t="str">
        <f>VLOOKUP(A723,Datos!$A$2:$H$1084,5,FALSE)</f>
        <v>0.08</v>
      </c>
      <c r="E723" t="str">
        <f>VLOOKUP(A723,Datos!$A$2:$H$1084,6,FALSE)</f>
        <v>7.70</v>
      </c>
      <c r="F723" t="str">
        <f>VLOOKUP(A723,Datos!$A$2:$H$1084,7,FALSE)</f>
        <v>0.00</v>
      </c>
      <c r="G723" t="str">
        <f>VLOOKUP(A723,Datos!$A$2:$H$1084,8,FALSE)</f>
        <v>0.02</v>
      </c>
    </row>
    <row r="724" spans="1:7" x14ac:dyDescent="0.3">
      <c r="A724" s="1">
        <v>49129</v>
      </c>
      <c r="B724" t="str">
        <f>VLOOKUP(A724,Datos!$A$2:$H$1084,3,FALSE)</f>
        <v>30.62</v>
      </c>
      <c r="C724" t="str">
        <f>VLOOKUP(A724,Datos!$A$2:$H$1084,4,FALSE)</f>
        <v>0.00</v>
      </c>
      <c r="D724" t="str">
        <f>VLOOKUP(A724,Datos!$A$2:$H$1084,5,FALSE)</f>
        <v>0.17</v>
      </c>
      <c r="E724" t="str">
        <f>VLOOKUP(A724,Datos!$A$2:$H$1084,6,FALSE)</f>
        <v>5.18</v>
      </c>
      <c r="F724" t="str">
        <f>VLOOKUP(A724,Datos!$A$2:$H$1084,7,FALSE)</f>
        <v>0.00</v>
      </c>
      <c r="G724" t="str">
        <f>VLOOKUP(A724,Datos!$A$2:$H$1084,8,FALSE)</f>
        <v>0.02</v>
      </c>
    </row>
    <row r="725" spans="1:7" x14ac:dyDescent="0.3">
      <c r="A725" s="1">
        <v>447883</v>
      </c>
      <c r="B725" t="str">
        <f>VLOOKUP(A725,Datos!$A$2:$H$1084,3,FALSE)</f>
        <v>50.29</v>
      </c>
      <c r="C725" t="str">
        <f>VLOOKUP(A725,Datos!$A$2:$H$1084,4,FALSE)</f>
        <v>0.00</v>
      </c>
      <c r="D725" t="str">
        <f>VLOOKUP(A725,Datos!$A$2:$H$1084,5,FALSE)</f>
        <v>2.95</v>
      </c>
      <c r="E725" t="str">
        <f>VLOOKUP(A725,Datos!$A$2:$H$1084,6,FALSE)</f>
        <v>2.60</v>
      </c>
      <c r="F725" t="str">
        <f>VLOOKUP(A725,Datos!$A$2:$H$1084,7,FALSE)</f>
        <v>0.00</v>
      </c>
      <c r="G725" t="str">
        <f>VLOOKUP(A725,Datos!$A$2:$H$1084,8,FALSE)</f>
        <v>0.03</v>
      </c>
    </row>
    <row r="726" spans="1:7" x14ac:dyDescent="0.3">
      <c r="A726" s="1">
        <v>70385</v>
      </c>
      <c r="B726" t="str">
        <f>VLOOKUP(A726,Datos!$A$2:$H$1084,3,FALSE)</f>
        <v>59.02</v>
      </c>
      <c r="C726" t="str">
        <f>VLOOKUP(A726,Datos!$A$2:$H$1084,4,FALSE)</f>
        <v>0.00</v>
      </c>
      <c r="D726" t="str">
        <f>VLOOKUP(A726,Datos!$A$2:$H$1084,5,FALSE)</f>
        <v>0.35</v>
      </c>
      <c r="E726" t="str">
        <f>VLOOKUP(A726,Datos!$A$2:$H$1084,6,FALSE)</f>
        <v>27.94</v>
      </c>
      <c r="F726" t="str">
        <f>VLOOKUP(A726,Datos!$A$2:$H$1084,7,FALSE)</f>
        <v>0.00</v>
      </c>
      <c r="G726" t="str">
        <f>VLOOKUP(A726,Datos!$A$2:$H$1084,8,FALSE)</f>
        <v>0.04</v>
      </c>
    </row>
    <row r="727" spans="1:7" x14ac:dyDescent="0.3">
      <c r="A727" s="1">
        <v>542408</v>
      </c>
      <c r="B727" t="str">
        <f>VLOOKUP(A727,Datos!$A$2:$H$1084,3,FALSE)</f>
        <v>63.61</v>
      </c>
      <c r="C727" t="str">
        <f>VLOOKUP(A727,Datos!$A$2:$H$1084,4,FALSE)</f>
        <v>0.00</v>
      </c>
      <c r="D727" t="str">
        <f>VLOOKUP(A727,Datos!$A$2:$H$1084,5,FALSE)</f>
        <v>0.30</v>
      </c>
      <c r="E727" t="str">
        <f>VLOOKUP(A727,Datos!$A$2:$H$1084,6,FALSE)</f>
        <v>7.97</v>
      </c>
      <c r="F727" t="str">
        <f>VLOOKUP(A727,Datos!$A$2:$H$1084,7,FALSE)</f>
        <v>0.00</v>
      </c>
      <c r="G727" t="str">
        <f>VLOOKUP(A727,Datos!$A$2:$H$1084,8,FALSE)</f>
        <v>0.03</v>
      </c>
    </row>
    <row r="728" spans="1:7" x14ac:dyDescent="0.3">
      <c r="A728" s="1">
        <v>52683</v>
      </c>
      <c r="B728" t="str">
        <f>VLOOKUP(A728,Datos!$A$2:$H$1084,3,FALSE)</f>
        <v>10.43</v>
      </c>
      <c r="C728" t="str">
        <f>VLOOKUP(A728,Datos!$A$2:$H$1084,4,FALSE)</f>
        <v>0.00</v>
      </c>
      <c r="D728" t="str">
        <f>VLOOKUP(A728,Datos!$A$2:$H$1084,5,FALSE)</f>
        <v>0.01</v>
      </c>
      <c r="E728" t="str">
        <f>VLOOKUP(A728,Datos!$A$2:$H$1084,6,FALSE)</f>
        <v>0.61</v>
      </c>
      <c r="F728" t="str">
        <f>VLOOKUP(A728,Datos!$A$2:$H$1084,7,FALSE)</f>
        <v>0.00</v>
      </c>
      <c r="G728" t="str">
        <f>VLOOKUP(A728,Datos!$A$2:$H$1084,8,FALSE)</f>
        <v>0.00</v>
      </c>
    </row>
    <row r="729" spans="1:7" x14ac:dyDescent="0.3">
      <c r="A729" s="1">
        <v>58171</v>
      </c>
      <c r="B729" t="str">
        <f>VLOOKUP(A729,Datos!$A$2:$H$1084,3,FALSE)</f>
        <v>38.82</v>
      </c>
      <c r="C729" t="str">
        <f>VLOOKUP(A729,Datos!$A$2:$H$1084,4,FALSE)</f>
        <v>0.00</v>
      </c>
      <c r="D729" t="str">
        <f>VLOOKUP(A729,Datos!$A$2:$H$1084,5,FALSE)</f>
        <v>0.07</v>
      </c>
      <c r="E729" t="str">
        <f>VLOOKUP(A729,Datos!$A$2:$H$1084,6,FALSE)</f>
        <v>2.51</v>
      </c>
      <c r="F729" t="str">
        <f>VLOOKUP(A729,Datos!$A$2:$H$1084,7,FALSE)</f>
        <v>0.00</v>
      </c>
      <c r="G729" t="str">
        <f>VLOOKUP(A729,Datos!$A$2:$H$1084,8,FALSE)</f>
        <v>0.01</v>
      </c>
    </row>
    <row r="730" spans="1:7" x14ac:dyDescent="0.3">
      <c r="A730" s="1">
        <v>151956</v>
      </c>
      <c r="B730" t="str">
        <f>VLOOKUP(A730,Datos!$A$2:$H$1084,3,FALSE)</f>
        <v>11.05</v>
      </c>
      <c r="C730" t="str">
        <f>VLOOKUP(A730,Datos!$A$2:$H$1084,4,FALSE)</f>
        <v>0.01</v>
      </c>
      <c r="D730" t="str">
        <f>VLOOKUP(A730,Datos!$A$2:$H$1084,5,FALSE)</f>
        <v>0.02</v>
      </c>
      <c r="E730" t="str">
        <f>VLOOKUP(A730,Datos!$A$2:$H$1084,6,FALSE)</f>
        <v>0.46</v>
      </c>
      <c r="F730" t="str">
        <f>VLOOKUP(A730,Datos!$A$2:$H$1084,7,FALSE)</f>
        <v>0.01</v>
      </c>
      <c r="G730" t="str">
        <f>VLOOKUP(A730,Datos!$A$2:$H$1084,8,FALSE)</f>
        <v>0.01</v>
      </c>
    </row>
    <row r="731" spans="1:7" x14ac:dyDescent="0.3">
      <c r="A731" s="1">
        <v>489627</v>
      </c>
      <c r="B731" t="str">
        <f>VLOOKUP(A731,Datos!$A$2:$H$1084,3,FALSE)</f>
        <v>66.48</v>
      </c>
      <c r="C731" t="str">
        <f>VLOOKUP(A731,Datos!$A$2:$H$1084,4,FALSE)</f>
        <v>0.00</v>
      </c>
      <c r="D731" t="str">
        <f>VLOOKUP(A731,Datos!$A$2:$H$1084,5,FALSE)</f>
        <v>0.13</v>
      </c>
      <c r="E731" t="str">
        <f>VLOOKUP(A731,Datos!$A$2:$H$1084,6,FALSE)</f>
        <v>2.45</v>
      </c>
      <c r="F731" t="str">
        <f>VLOOKUP(A731,Datos!$A$2:$H$1084,7,FALSE)</f>
        <v>0.00</v>
      </c>
      <c r="G731" t="str">
        <f>VLOOKUP(A731,Datos!$A$2:$H$1084,8,FALSE)</f>
        <v>0.02</v>
      </c>
    </row>
    <row r="732" spans="1:7" x14ac:dyDescent="0.3">
      <c r="A732" s="1">
        <v>64092</v>
      </c>
      <c r="B732" t="str">
        <f>VLOOKUP(A732,Datos!$A$2:$H$1084,3,FALSE)</f>
        <v>92.03</v>
      </c>
      <c r="C732" t="str">
        <f>VLOOKUP(A732,Datos!$A$2:$H$1084,4,FALSE)</f>
        <v>0.00</v>
      </c>
      <c r="D732" t="str">
        <f>VLOOKUP(A732,Datos!$A$2:$H$1084,5,FALSE)</f>
        <v>0.01</v>
      </c>
      <c r="E732" t="str">
        <f>VLOOKUP(A732,Datos!$A$2:$H$1084,6,FALSE)</f>
        <v>1.90</v>
      </c>
      <c r="F732" t="str">
        <f>VLOOKUP(A732,Datos!$A$2:$H$1084,7,FALSE)</f>
        <v>0.00</v>
      </c>
      <c r="G732" t="str">
        <f>VLOOKUP(A732,Datos!$A$2:$H$1084,8,FALSE)</f>
        <v>0.00</v>
      </c>
    </row>
    <row r="733" spans="1:7" x14ac:dyDescent="0.3">
      <c r="A733" s="1">
        <v>61381</v>
      </c>
      <c r="B733" t="str">
        <f>VLOOKUP(A733,Datos!$A$2:$H$1084,3,FALSE)</f>
        <v>26.63</v>
      </c>
      <c r="C733" t="str">
        <f>VLOOKUP(A733,Datos!$A$2:$H$1084,4,FALSE)</f>
        <v>0.00</v>
      </c>
      <c r="D733" t="str">
        <f>VLOOKUP(A733,Datos!$A$2:$H$1084,5,FALSE)</f>
        <v>0.23</v>
      </c>
      <c r="E733" t="str">
        <f>VLOOKUP(A733,Datos!$A$2:$H$1084,6,FALSE)</f>
        <v>6.27</v>
      </c>
      <c r="F733" t="str">
        <f>VLOOKUP(A733,Datos!$A$2:$H$1084,7,FALSE)</f>
        <v>0.00</v>
      </c>
      <c r="G733" t="str">
        <f>VLOOKUP(A733,Datos!$A$2:$H$1084,8,FALSE)</f>
        <v>0.03</v>
      </c>
    </row>
    <row r="734" spans="1:7" x14ac:dyDescent="0.3">
      <c r="A734" s="1">
        <v>154974</v>
      </c>
      <c r="B734" t="str">
        <f>VLOOKUP(A734,Datos!$A$2:$H$1084,3,FALSE)</f>
        <v>73.47</v>
      </c>
      <c r="C734" t="str">
        <f>VLOOKUP(A734,Datos!$A$2:$H$1084,4,FALSE)</f>
        <v>0.00</v>
      </c>
      <c r="D734" t="str">
        <f>VLOOKUP(A734,Datos!$A$2:$H$1084,5,FALSE)</f>
        <v>0.56</v>
      </c>
      <c r="E734" t="str">
        <f>VLOOKUP(A734,Datos!$A$2:$H$1084,6,FALSE)</f>
        <v>4.98</v>
      </c>
      <c r="F734" t="str">
        <f>VLOOKUP(A734,Datos!$A$2:$H$1084,7,FALSE)</f>
        <v>0.00</v>
      </c>
      <c r="G734" t="str">
        <f>VLOOKUP(A734,Datos!$A$2:$H$1084,8,FALSE)</f>
        <v>0.05</v>
      </c>
    </row>
    <row r="735" spans="1:7" x14ac:dyDescent="0.3">
      <c r="A735" s="1">
        <v>398081</v>
      </c>
      <c r="B735" t="str">
        <f>VLOOKUP(A735,Datos!$A$2:$H$1084,3,FALSE)</f>
        <v>75.65</v>
      </c>
      <c r="C735" t="str">
        <f>VLOOKUP(A735,Datos!$A$2:$H$1084,4,FALSE)</f>
        <v>0.00</v>
      </c>
      <c r="D735" t="str">
        <f>VLOOKUP(A735,Datos!$A$2:$H$1084,5,FALSE)</f>
        <v>0.26</v>
      </c>
      <c r="E735" t="str">
        <f>VLOOKUP(A735,Datos!$A$2:$H$1084,6,FALSE)</f>
        <v>2.95</v>
      </c>
      <c r="F735" t="str">
        <f>VLOOKUP(A735,Datos!$A$2:$H$1084,7,FALSE)</f>
        <v>0.00</v>
      </c>
      <c r="G735" t="str">
        <f>VLOOKUP(A735,Datos!$A$2:$H$1084,8,FALSE)</f>
        <v>0.02</v>
      </c>
    </row>
    <row r="736" spans="1:7" x14ac:dyDescent="0.3">
      <c r="A736" s="1">
        <v>60923</v>
      </c>
      <c r="B736" t="str">
        <f>VLOOKUP(A736,Datos!$A$2:$H$1084,3,FALSE)</f>
        <v>36.81</v>
      </c>
      <c r="C736" t="str">
        <f>VLOOKUP(A736,Datos!$A$2:$H$1084,4,FALSE)</f>
        <v>0.00</v>
      </c>
      <c r="D736" t="str">
        <f>VLOOKUP(A736,Datos!$A$2:$H$1084,5,FALSE)</f>
        <v>0.27</v>
      </c>
      <c r="E736" t="str">
        <f>VLOOKUP(A736,Datos!$A$2:$H$1084,6,FALSE)</f>
        <v>16.15</v>
      </c>
      <c r="F736" t="str">
        <f>VLOOKUP(A736,Datos!$A$2:$H$1084,7,FALSE)</f>
        <v>0.00</v>
      </c>
      <c r="G736" t="str">
        <f>VLOOKUP(A736,Datos!$A$2:$H$1084,8,FALSE)</f>
        <v>0.04</v>
      </c>
    </row>
    <row r="737" spans="1:7" x14ac:dyDescent="0.3">
      <c r="A737" s="1">
        <v>567818</v>
      </c>
      <c r="B737" t="str">
        <f>VLOOKUP(A737,Datos!$A$2:$H$1084,3,FALSE)</f>
        <v>96.33</v>
      </c>
      <c r="C737" t="str">
        <f>VLOOKUP(A737,Datos!$A$2:$H$1084,4,FALSE)</f>
        <v>0.01</v>
      </c>
      <c r="D737" t="str">
        <f>VLOOKUP(A737,Datos!$A$2:$H$1084,5,FALSE)</f>
        <v>0.45</v>
      </c>
      <c r="E737" t="str">
        <f>VLOOKUP(A737,Datos!$A$2:$H$1084,6,FALSE)</f>
        <v>9.91</v>
      </c>
      <c r="F737" t="str">
        <f>VLOOKUP(A737,Datos!$A$2:$H$1084,7,FALSE)</f>
        <v>0.01</v>
      </c>
      <c r="G737" t="str">
        <f>VLOOKUP(A737,Datos!$A$2:$H$1084,8,FALSE)</f>
        <v>0.03</v>
      </c>
    </row>
    <row r="738" spans="1:7" x14ac:dyDescent="0.3">
      <c r="A738" s="1">
        <v>60433</v>
      </c>
      <c r="B738" t="str">
        <f>VLOOKUP(A738,Datos!$A$2:$H$1084,3,FALSE)</f>
        <v>33.21</v>
      </c>
      <c r="C738" t="str">
        <f>VLOOKUP(A738,Datos!$A$2:$H$1084,4,FALSE)</f>
        <v>0.01</v>
      </c>
      <c r="D738" t="str">
        <f>VLOOKUP(A738,Datos!$A$2:$H$1084,5,FALSE)</f>
        <v>0.02</v>
      </c>
      <c r="E738" t="str">
        <f>VLOOKUP(A738,Datos!$A$2:$H$1084,6,FALSE)</f>
        <v>17.35</v>
      </c>
      <c r="F738" t="str">
        <f>VLOOKUP(A738,Datos!$A$2:$H$1084,7,FALSE)</f>
        <v>0.01</v>
      </c>
      <c r="G738" t="str">
        <f>VLOOKUP(A738,Datos!$A$2:$H$1084,8,FALSE)</f>
        <v>0.01</v>
      </c>
    </row>
    <row r="739" spans="1:7" x14ac:dyDescent="0.3">
      <c r="A739" s="1">
        <v>65633</v>
      </c>
      <c r="B739" t="str">
        <f>VLOOKUP(A739,Datos!$A$2:$H$1084,3,FALSE)</f>
        <v>138.11</v>
      </c>
      <c r="C739" t="str">
        <f>VLOOKUP(A739,Datos!$A$2:$H$1084,4,FALSE)</f>
        <v>0.01</v>
      </c>
      <c r="D739" t="str">
        <f>VLOOKUP(A739,Datos!$A$2:$H$1084,5,FALSE)</f>
        <v>0.30</v>
      </c>
      <c r="E739" t="str">
        <f>VLOOKUP(A739,Datos!$A$2:$H$1084,6,FALSE)</f>
        <v>7.56</v>
      </c>
      <c r="F739" t="str">
        <f>VLOOKUP(A739,Datos!$A$2:$H$1084,7,FALSE)</f>
        <v>0.01</v>
      </c>
      <c r="G739" t="str">
        <f>VLOOKUP(A739,Datos!$A$2:$H$1084,8,FALSE)</f>
        <v>0.03</v>
      </c>
    </row>
    <row r="740" spans="1:7" x14ac:dyDescent="0.3">
      <c r="A740" s="1">
        <v>463967</v>
      </c>
      <c r="B740" t="str">
        <f>VLOOKUP(A740,Datos!$A$2:$H$1084,3,FALSE)</f>
        <v>133.39</v>
      </c>
      <c r="C740" t="str">
        <f>VLOOKUP(A740,Datos!$A$2:$H$1084,4,FALSE)</f>
        <v>0.00</v>
      </c>
      <c r="D740" t="str">
        <f>VLOOKUP(A740,Datos!$A$2:$H$1084,5,FALSE)</f>
        <v>0.38</v>
      </c>
      <c r="E740" t="str">
        <f>VLOOKUP(A740,Datos!$A$2:$H$1084,6,FALSE)</f>
        <v>23.32</v>
      </c>
      <c r="F740" t="str">
        <f>VLOOKUP(A740,Datos!$A$2:$H$1084,7,FALSE)</f>
        <v>0.00</v>
      </c>
      <c r="G740" t="str">
        <f>VLOOKUP(A740,Datos!$A$2:$H$1084,8,FALSE)</f>
        <v>0.03</v>
      </c>
    </row>
    <row r="741" spans="1:7" x14ac:dyDescent="0.3">
      <c r="A741" s="1">
        <v>42444</v>
      </c>
      <c r="B741" t="str">
        <f>VLOOKUP(A741,Datos!$A$2:$H$1084,3,FALSE)</f>
        <v>14.52</v>
      </c>
      <c r="C741" t="str">
        <f>VLOOKUP(A741,Datos!$A$2:$H$1084,4,FALSE)</f>
        <v>0.00</v>
      </c>
      <c r="D741" t="str">
        <f>VLOOKUP(A741,Datos!$A$2:$H$1084,5,FALSE)</f>
        <v>0.02</v>
      </c>
      <c r="E741" t="str">
        <f>VLOOKUP(A741,Datos!$A$2:$H$1084,6,FALSE)</f>
        <v>0.67</v>
      </c>
      <c r="F741" t="str">
        <f>VLOOKUP(A741,Datos!$A$2:$H$1084,7,FALSE)</f>
        <v>0.00</v>
      </c>
      <c r="G741" t="str">
        <f>VLOOKUP(A741,Datos!$A$2:$H$1084,8,FALSE)</f>
        <v>0.01</v>
      </c>
    </row>
    <row r="742" spans="1:7" x14ac:dyDescent="0.3">
      <c r="A742" s="1">
        <v>463444</v>
      </c>
      <c r="B742" t="str">
        <f>VLOOKUP(A742,Datos!$A$2:$H$1084,3,FALSE)</f>
        <v>43.72</v>
      </c>
      <c r="C742" t="str">
        <f>VLOOKUP(A742,Datos!$A$2:$H$1084,4,FALSE)</f>
        <v>0.00</v>
      </c>
      <c r="D742" t="str">
        <f>VLOOKUP(A742,Datos!$A$2:$H$1084,5,FALSE)</f>
        <v>0.18</v>
      </c>
      <c r="E742" t="str">
        <f>VLOOKUP(A742,Datos!$A$2:$H$1084,6,FALSE)</f>
        <v>22.58</v>
      </c>
      <c r="F742" t="str">
        <f>VLOOKUP(A742,Datos!$A$2:$H$1084,7,FALSE)</f>
        <v>0.00</v>
      </c>
      <c r="G742" t="str">
        <f>VLOOKUP(A742,Datos!$A$2:$H$1084,8,FALSE)</f>
        <v>0.02</v>
      </c>
    </row>
    <row r="743" spans="1:7" x14ac:dyDescent="0.3">
      <c r="A743" s="1">
        <v>823998</v>
      </c>
      <c r="B743" t="str">
        <f>VLOOKUP(A743,Datos!$A$2:$H$1084,3,FALSE)</f>
        <v>36.38</v>
      </c>
      <c r="C743" t="str">
        <f>VLOOKUP(A743,Datos!$A$2:$H$1084,4,FALSE)</f>
        <v>0.00</v>
      </c>
      <c r="D743" t="str">
        <f>VLOOKUP(A743,Datos!$A$2:$H$1084,5,FALSE)</f>
        <v>0.38</v>
      </c>
      <c r="E743" t="str">
        <f>VLOOKUP(A743,Datos!$A$2:$H$1084,6,FALSE)</f>
        <v>9.20</v>
      </c>
      <c r="F743" t="str">
        <f>VLOOKUP(A743,Datos!$A$2:$H$1084,7,FALSE)</f>
        <v>0.00</v>
      </c>
      <c r="G743" t="str">
        <f>VLOOKUP(A743,Datos!$A$2:$H$1084,8,FALSE)</f>
        <v>0.09</v>
      </c>
    </row>
    <row r="744" spans="1:7" x14ac:dyDescent="0.3">
      <c r="A744" s="1">
        <v>79908</v>
      </c>
      <c r="B744" t="str">
        <f>VLOOKUP(A744,Datos!$A$2:$H$1084,3,FALSE)</f>
        <v>55.55</v>
      </c>
      <c r="C744" t="str">
        <f>VLOOKUP(A744,Datos!$A$2:$H$1084,4,FALSE)</f>
        <v>0.00</v>
      </c>
      <c r="D744" t="str">
        <f>VLOOKUP(A744,Datos!$A$2:$H$1084,5,FALSE)</f>
        <v>0.05</v>
      </c>
      <c r="E744" t="str">
        <f>VLOOKUP(A744,Datos!$A$2:$H$1084,6,FALSE)</f>
        <v>9.74</v>
      </c>
      <c r="F744" t="str">
        <f>VLOOKUP(A744,Datos!$A$2:$H$1084,7,FALSE)</f>
        <v>0.00</v>
      </c>
      <c r="G744" t="str">
        <f>VLOOKUP(A744,Datos!$A$2:$H$1084,8,FALSE)</f>
        <v>0.01</v>
      </c>
    </row>
    <row r="745" spans="1:7" x14ac:dyDescent="0.3">
      <c r="A745" s="1">
        <v>42401</v>
      </c>
      <c r="B745" t="str">
        <f>VLOOKUP(A745,Datos!$A$2:$H$1084,3,FALSE)</f>
        <v>278.72</v>
      </c>
      <c r="C745" t="str">
        <f>VLOOKUP(A745,Datos!$A$2:$H$1084,4,FALSE)</f>
        <v>0.00</v>
      </c>
      <c r="D745" t="str">
        <f>VLOOKUP(A745,Datos!$A$2:$H$1084,5,FALSE)</f>
        <v>1.32</v>
      </c>
      <c r="E745" t="str">
        <f>VLOOKUP(A745,Datos!$A$2:$H$1084,6,FALSE)</f>
        <v>17.09</v>
      </c>
      <c r="F745" t="str">
        <f>VLOOKUP(A745,Datos!$A$2:$H$1084,7,FALSE)</f>
        <v>0.00</v>
      </c>
      <c r="G745" t="str">
        <f>VLOOKUP(A745,Datos!$A$2:$H$1084,8,FALSE)</f>
        <v>0.12</v>
      </c>
    </row>
    <row r="746" spans="1:7" x14ac:dyDescent="0.3">
      <c r="A746" s="1">
        <v>67175</v>
      </c>
      <c r="B746" t="str">
        <f>VLOOKUP(A746,Datos!$A$2:$H$1084,3,FALSE)</f>
        <v>18.77</v>
      </c>
      <c r="C746" t="str">
        <f>VLOOKUP(A746,Datos!$A$2:$H$1084,4,FALSE)</f>
        <v>0.00</v>
      </c>
      <c r="D746" t="str">
        <f>VLOOKUP(A746,Datos!$A$2:$H$1084,5,FALSE)</f>
        <v>0.01</v>
      </c>
      <c r="E746" t="str">
        <f>VLOOKUP(A746,Datos!$A$2:$H$1084,6,FALSE)</f>
        <v>3.42</v>
      </c>
      <c r="F746" t="str">
        <f>VLOOKUP(A746,Datos!$A$2:$H$1084,7,FALSE)</f>
        <v>0.00</v>
      </c>
      <c r="G746" t="str">
        <f>VLOOKUP(A746,Datos!$A$2:$H$1084,8,FALSE)</f>
        <v>0.01</v>
      </c>
    </row>
    <row r="747" spans="1:7" x14ac:dyDescent="0.3">
      <c r="A747" s="1">
        <v>384507</v>
      </c>
      <c r="B747" t="str">
        <f>VLOOKUP(A747,Datos!$A$2:$H$1084,3,FALSE)</f>
        <v>38.47</v>
      </c>
      <c r="C747" t="str">
        <f>VLOOKUP(A747,Datos!$A$2:$H$1084,4,FALSE)</f>
        <v>0.00</v>
      </c>
      <c r="D747" t="str">
        <f>VLOOKUP(A747,Datos!$A$2:$H$1084,5,FALSE)</f>
        <v>0.31</v>
      </c>
      <c r="E747" t="str">
        <f>VLOOKUP(A747,Datos!$A$2:$H$1084,6,FALSE)</f>
        <v>9.69</v>
      </c>
      <c r="F747" t="str">
        <f>VLOOKUP(A747,Datos!$A$2:$H$1084,7,FALSE)</f>
        <v>0.00</v>
      </c>
      <c r="G747" t="str">
        <f>VLOOKUP(A747,Datos!$A$2:$H$1084,8,FALSE)</f>
        <v>0.04</v>
      </c>
    </row>
    <row r="748" spans="1:7" x14ac:dyDescent="0.3">
      <c r="A748" s="1">
        <v>93396</v>
      </c>
      <c r="B748" t="str">
        <f>VLOOKUP(A748,Datos!$A$2:$H$1084,3,FALSE)</f>
        <v>186.80</v>
      </c>
      <c r="C748" t="str">
        <f>VLOOKUP(A748,Datos!$A$2:$H$1084,4,FALSE)</f>
        <v>0.00</v>
      </c>
      <c r="D748" t="str">
        <f>VLOOKUP(A748,Datos!$A$2:$H$1084,5,FALSE)</f>
        <v>1.92</v>
      </c>
      <c r="E748" t="str">
        <f>VLOOKUP(A748,Datos!$A$2:$H$1084,6,FALSE)</f>
        <v>12.23</v>
      </c>
      <c r="F748" t="str">
        <f>VLOOKUP(A748,Datos!$A$2:$H$1084,7,FALSE)</f>
        <v>0.00</v>
      </c>
      <c r="G748" t="str">
        <f>VLOOKUP(A748,Datos!$A$2:$H$1084,8,FALSE)</f>
        <v>0.06</v>
      </c>
    </row>
    <row r="749" spans="1:7" x14ac:dyDescent="0.3">
      <c r="A749" s="1">
        <v>399797</v>
      </c>
      <c r="B749" t="str">
        <f>VLOOKUP(A749,Datos!$A$2:$H$1084,3,FALSE)</f>
        <v>17.34</v>
      </c>
      <c r="C749" t="str">
        <f>VLOOKUP(A749,Datos!$A$2:$H$1084,4,FALSE)</f>
        <v>0.00</v>
      </c>
      <c r="D749" t="str">
        <f>VLOOKUP(A749,Datos!$A$2:$H$1084,5,FALSE)</f>
        <v>0.01</v>
      </c>
      <c r="E749" t="str">
        <f>VLOOKUP(A749,Datos!$A$2:$H$1084,6,FALSE)</f>
        <v>0.85</v>
      </c>
      <c r="F749" t="str">
        <f>VLOOKUP(A749,Datos!$A$2:$H$1084,7,FALSE)</f>
        <v>0.00</v>
      </c>
      <c r="G749" t="str">
        <f>VLOOKUP(A749,Datos!$A$2:$H$1084,8,FALSE)</f>
        <v>0.00</v>
      </c>
    </row>
    <row r="750" spans="1:7" x14ac:dyDescent="0.3">
      <c r="A750" s="1">
        <v>148619</v>
      </c>
      <c r="B750" t="str">
        <f>VLOOKUP(A750,Datos!$A$2:$H$1084,3,FALSE)</f>
        <v>37.85</v>
      </c>
      <c r="C750" t="str">
        <f>VLOOKUP(A750,Datos!$A$2:$H$1084,4,FALSE)</f>
        <v>0.00</v>
      </c>
      <c r="D750" t="str">
        <f>VLOOKUP(A750,Datos!$A$2:$H$1084,5,FALSE)</f>
        <v>0.30</v>
      </c>
      <c r="E750" t="str">
        <f>VLOOKUP(A750,Datos!$A$2:$H$1084,6,FALSE)</f>
        <v>8.00</v>
      </c>
      <c r="F750" t="str">
        <f>VLOOKUP(A750,Datos!$A$2:$H$1084,7,FALSE)</f>
        <v>0.00</v>
      </c>
      <c r="G750" t="str">
        <f>VLOOKUP(A750,Datos!$A$2:$H$1084,8,FALSE)</f>
        <v>0.03</v>
      </c>
    </row>
    <row r="751" spans="1:7" x14ac:dyDescent="0.3">
      <c r="A751" s="1">
        <v>168339</v>
      </c>
      <c r="B751" t="str">
        <f>VLOOKUP(A751,Datos!$A$2:$H$1084,3,FALSE)</f>
        <v>93.80</v>
      </c>
      <c r="C751" t="str">
        <f>VLOOKUP(A751,Datos!$A$2:$H$1084,4,FALSE)</f>
        <v>0.00</v>
      </c>
      <c r="D751" t="str">
        <f>VLOOKUP(A751,Datos!$A$2:$H$1084,5,FALSE)</f>
        <v>0.22</v>
      </c>
      <c r="E751" t="str">
        <f>VLOOKUP(A751,Datos!$A$2:$H$1084,6,FALSE)</f>
        <v>5.55</v>
      </c>
      <c r="F751" t="str">
        <f>VLOOKUP(A751,Datos!$A$2:$H$1084,7,FALSE)</f>
        <v>0.00</v>
      </c>
      <c r="G751" t="str">
        <f>VLOOKUP(A751,Datos!$A$2:$H$1084,8,FALSE)</f>
        <v>0.02</v>
      </c>
    </row>
    <row r="752" spans="1:7" x14ac:dyDescent="0.3">
      <c r="A752" s="1">
        <v>65609</v>
      </c>
      <c r="B752" t="str">
        <f>VLOOKUP(A752,Datos!$A$2:$H$1084,3,FALSE)</f>
        <v>47.62</v>
      </c>
      <c r="C752" t="str">
        <f>VLOOKUP(A752,Datos!$A$2:$H$1084,4,FALSE)</f>
        <v>0.01</v>
      </c>
      <c r="D752" t="str">
        <f>VLOOKUP(A752,Datos!$A$2:$H$1084,5,FALSE)</f>
        <v>0.27</v>
      </c>
      <c r="E752" t="str">
        <f>VLOOKUP(A752,Datos!$A$2:$H$1084,6,FALSE)</f>
        <v>11.91</v>
      </c>
      <c r="F752" t="str">
        <f>VLOOKUP(A752,Datos!$A$2:$H$1084,7,FALSE)</f>
        <v>0.01</v>
      </c>
      <c r="G752" t="str">
        <f>VLOOKUP(A752,Datos!$A$2:$H$1084,8,FALSE)</f>
        <v>0.03</v>
      </c>
    </row>
    <row r="753" spans="1:7" x14ac:dyDescent="0.3">
      <c r="A753" s="1">
        <v>441777</v>
      </c>
      <c r="B753" t="str">
        <f>VLOOKUP(A753,Datos!$A$2:$H$1084,3,FALSE)</f>
        <v>31.26</v>
      </c>
      <c r="C753" t="str">
        <f>VLOOKUP(A753,Datos!$A$2:$H$1084,4,FALSE)</f>
        <v>0.00</v>
      </c>
      <c r="D753" t="str">
        <f>VLOOKUP(A753,Datos!$A$2:$H$1084,5,FALSE)</f>
        <v>0.07</v>
      </c>
      <c r="E753" t="str">
        <f>VLOOKUP(A753,Datos!$A$2:$H$1084,6,FALSE)</f>
        <v>1.49</v>
      </c>
      <c r="F753" t="str">
        <f>VLOOKUP(A753,Datos!$A$2:$H$1084,7,FALSE)</f>
        <v>0.00</v>
      </c>
      <c r="G753" t="str">
        <f>VLOOKUP(A753,Datos!$A$2:$H$1084,8,FALSE)</f>
        <v>0.01</v>
      </c>
    </row>
    <row r="754" spans="1:7" x14ac:dyDescent="0.3">
      <c r="A754" s="1">
        <v>464108</v>
      </c>
      <c r="B754" t="str">
        <f>VLOOKUP(A754,Datos!$A$2:$H$1084,3,FALSE)</f>
        <v>63.99</v>
      </c>
      <c r="C754" t="str">
        <f>VLOOKUP(A754,Datos!$A$2:$H$1084,4,FALSE)</f>
        <v>0.00</v>
      </c>
      <c r="D754" t="str">
        <f>VLOOKUP(A754,Datos!$A$2:$H$1084,5,FALSE)</f>
        <v>0.41</v>
      </c>
      <c r="E754" t="str">
        <f>VLOOKUP(A754,Datos!$A$2:$H$1084,6,FALSE)</f>
        <v>21.10</v>
      </c>
      <c r="F754" t="str">
        <f>VLOOKUP(A754,Datos!$A$2:$H$1084,7,FALSE)</f>
        <v>0.00</v>
      </c>
      <c r="G754" t="str">
        <f>VLOOKUP(A754,Datos!$A$2:$H$1084,8,FALSE)</f>
        <v>0.06</v>
      </c>
    </row>
    <row r="755" spans="1:7" x14ac:dyDescent="0.3">
      <c r="A755" s="1">
        <v>447816</v>
      </c>
      <c r="B755" t="str">
        <f>VLOOKUP(A755,Datos!$A$2:$H$1084,3,FALSE)</f>
        <v>50.04</v>
      </c>
      <c r="C755" t="str">
        <f>VLOOKUP(A755,Datos!$A$2:$H$1084,4,FALSE)</f>
        <v>0.00</v>
      </c>
      <c r="D755" t="str">
        <f>VLOOKUP(A755,Datos!$A$2:$H$1084,5,FALSE)</f>
        <v>0.04</v>
      </c>
      <c r="E755" t="str">
        <f>VLOOKUP(A755,Datos!$A$2:$H$1084,6,FALSE)</f>
        <v>5.41</v>
      </c>
      <c r="F755" t="str">
        <f>VLOOKUP(A755,Datos!$A$2:$H$1084,7,FALSE)</f>
        <v>0.00</v>
      </c>
      <c r="G755" t="str">
        <f>VLOOKUP(A755,Datos!$A$2:$H$1084,8,FALSE)</f>
        <v>0.01</v>
      </c>
    </row>
    <row r="756" spans="1:7" x14ac:dyDescent="0.3">
      <c r="A756" s="1">
        <v>489444</v>
      </c>
      <c r="B756" t="str">
        <f>VLOOKUP(A756,Datos!$A$2:$H$1084,3,FALSE)</f>
        <v>37.69</v>
      </c>
      <c r="C756" t="str">
        <f>VLOOKUP(A756,Datos!$A$2:$H$1084,4,FALSE)</f>
        <v>0.00</v>
      </c>
      <c r="D756" t="str">
        <f>VLOOKUP(A756,Datos!$A$2:$H$1084,5,FALSE)</f>
        <v>0.16</v>
      </c>
      <c r="E756" t="str">
        <f>VLOOKUP(A756,Datos!$A$2:$H$1084,6,FALSE)</f>
        <v>11.54</v>
      </c>
      <c r="F756" t="str">
        <f>VLOOKUP(A756,Datos!$A$2:$H$1084,7,FALSE)</f>
        <v>0.00</v>
      </c>
      <c r="G756" t="str">
        <f>VLOOKUP(A756,Datos!$A$2:$H$1084,8,FALSE)</f>
        <v>0.02</v>
      </c>
    </row>
    <row r="757" spans="1:7" x14ac:dyDescent="0.3">
      <c r="A757" s="1">
        <v>463806</v>
      </c>
      <c r="B757" t="str">
        <f>VLOOKUP(A757,Datos!$A$2:$H$1084,3,FALSE)</f>
        <v>32.99</v>
      </c>
      <c r="C757" t="str">
        <f>VLOOKUP(A757,Datos!$A$2:$H$1084,4,FALSE)</f>
        <v>0.00</v>
      </c>
      <c r="D757" t="str">
        <f>VLOOKUP(A757,Datos!$A$2:$H$1084,5,FALSE)</f>
        <v>0.28</v>
      </c>
      <c r="E757" t="str">
        <f>VLOOKUP(A757,Datos!$A$2:$H$1084,6,FALSE)</f>
        <v>8.54</v>
      </c>
      <c r="F757" t="str">
        <f>VLOOKUP(A757,Datos!$A$2:$H$1084,7,FALSE)</f>
        <v>0.00</v>
      </c>
      <c r="G757" t="str">
        <f>VLOOKUP(A757,Datos!$A$2:$H$1084,8,FALSE)</f>
        <v>0.03</v>
      </c>
    </row>
    <row r="758" spans="1:7" x14ac:dyDescent="0.3">
      <c r="A758" s="1">
        <v>758554</v>
      </c>
      <c r="B758" t="str">
        <f>VLOOKUP(A758,Datos!$A$2:$H$1084,3,FALSE)</f>
        <v>104.54</v>
      </c>
      <c r="C758" t="str">
        <f>VLOOKUP(A758,Datos!$A$2:$H$1084,4,FALSE)</f>
        <v>0.00</v>
      </c>
      <c r="D758" t="str">
        <f>VLOOKUP(A758,Datos!$A$2:$H$1084,5,FALSE)</f>
        <v>0.14</v>
      </c>
      <c r="E758" t="str">
        <f>VLOOKUP(A758,Datos!$A$2:$H$1084,6,FALSE)</f>
        <v>6.10</v>
      </c>
      <c r="F758" t="str">
        <f>VLOOKUP(A758,Datos!$A$2:$H$1084,7,FALSE)</f>
        <v>0.00</v>
      </c>
      <c r="G758" t="str">
        <f>VLOOKUP(A758,Datos!$A$2:$H$1084,8,FALSE)</f>
        <v>0.04</v>
      </c>
    </row>
    <row r="759" spans="1:7" x14ac:dyDescent="0.3">
      <c r="A759" s="1">
        <v>815125</v>
      </c>
      <c r="B759" t="str">
        <f>VLOOKUP(A759,Datos!$A$2:$H$1084,3,FALSE)</f>
        <v>47.69</v>
      </c>
      <c r="C759" t="str">
        <f>VLOOKUP(A759,Datos!$A$2:$H$1084,4,FALSE)</f>
        <v>0.00</v>
      </c>
      <c r="D759" t="str">
        <f>VLOOKUP(A759,Datos!$A$2:$H$1084,5,FALSE)</f>
        <v>0.65</v>
      </c>
      <c r="E759" t="str">
        <f>VLOOKUP(A759,Datos!$A$2:$H$1084,6,FALSE)</f>
        <v>56.66</v>
      </c>
      <c r="F759" t="str">
        <f>VLOOKUP(A759,Datos!$A$2:$H$1084,7,FALSE)</f>
        <v>0.00</v>
      </c>
      <c r="G759" t="str">
        <f>VLOOKUP(A759,Datos!$A$2:$H$1084,8,FALSE)</f>
        <v>0.16</v>
      </c>
    </row>
    <row r="760" spans="1:7" x14ac:dyDescent="0.3">
      <c r="A760" s="1">
        <v>443173</v>
      </c>
      <c r="B760" t="str">
        <f>VLOOKUP(A760,Datos!$A$2:$H$1084,3,FALSE)</f>
        <v>38.17</v>
      </c>
      <c r="C760" t="str">
        <f>VLOOKUP(A760,Datos!$A$2:$H$1084,4,FALSE)</f>
        <v>0.00</v>
      </c>
      <c r="D760" t="str">
        <f>VLOOKUP(A760,Datos!$A$2:$H$1084,5,FALSE)</f>
        <v>0.25</v>
      </c>
      <c r="E760" t="str">
        <f>VLOOKUP(A760,Datos!$A$2:$H$1084,6,FALSE)</f>
        <v>33.01</v>
      </c>
      <c r="F760" t="str">
        <f>VLOOKUP(A760,Datos!$A$2:$H$1084,7,FALSE)</f>
        <v>0.00</v>
      </c>
      <c r="G760" t="str">
        <f>VLOOKUP(A760,Datos!$A$2:$H$1084,8,FALSE)</f>
        <v>0.03</v>
      </c>
    </row>
    <row r="761" spans="1:7" x14ac:dyDescent="0.3">
      <c r="A761" s="1">
        <v>64049</v>
      </c>
      <c r="B761" t="str">
        <f>VLOOKUP(A761,Datos!$A$2:$H$1084,3,FALSE)</f>
        <v>47.96</v>
      </c>
      <c r="C761" t="str">
        <f>VLOOKUP(A761,Datos!$A$2:$H$1084,4,FALSE)</f>
        <v>0.01</v>
      </c>
      <c r="D761" t="str">
        <f>VLOOKUP(A761,Datos!$A$2:$H$1084,5,FALSE)</f>
        <v>0.12</v>
      </c>
      <c r="E761" t="str">
        <f>VLOOKUP(A761,Datos!$A$2:$H$1084,6,FALSE)</f>
        <v>5.09</v>
      </c>
      <c r="F761" t="str">
        <f>VLOOKUP(A761,Datos!$A$2:$H$1084,7,FALSE)</f>
        <v>0.01</v>
      </c>
      <c r="G761" t="str">
        <f>VLOOKUP(A761,Datos!$A$2:$H$1084,8,FALSE)</f>
        <v>0.02</v>
      </c>
    </row>
    <row r="762" spans="1:7" x14ac:dyDescent="0.3">
      <c r="A762" s="1">
        <v>155073</v>
      </c>
      <c r="B762" t="str">
        <f>VLOOKUP(A762,Datos!$A$2:$H$1084,3,FALSE)</f>
        <v>24.04</v>
      </c>
      <c r="C762" t="str">
        <f>VLOOKUP(A762,Datos!$A$2:$H$1084,4,FALSE)</f>
        <v>0.00</v>
      </c>
      <c r="D762" t="str">
        <f>VLOOKUP(A762,Datos!$A$2:$H$1084,5,FALSE)</f>
        <v>0.07</v>
      </c>
      <c r="E762" t="str">
        <f>VLOOKUP(A762,Datos!$A$2:$H$1084,6,FALSE)</f>
        <v>1.43</v>
      </c>
      <c r="F762" t="str">
        <f>VLOOKUP(A762,Datos!$A$2:$H$1084,7,FALSE)</f>
        <v>0.00</v>
      </c>
      <c r="G762" t="str">
        <f>VLOOKUP(A762,Datos!$A$2:$H$1084,8,FALSE)</f>
        <v>0.01</v>
      </c>
    </row>
    <row r="763" spans="1:7" x14ac:dyDescent="0.3">
      <c r="A763" s="1">
        <v>606061</v>
      </c>
      <c r="B763" t="str">
        <f>VLOOKUP(A763,Datos!$A$2:$H$1084,3,FALSE)</f>
        <v>88.86</v>
      </c>
      <c r="C763" t="str">
        <f>VLOOKUP(A763,Datos!$A$2:$H$1084,4,FALSE)</f>
        <v>0.00</v>
      </c>
      <c r="D763" t="str">
        <f>VLOOKUP(A763,Datos!$A$2:$H$1084,5,FALSE)</f>
        <v>0.45</v>
      </c>
      <c r="E763" t="str">
        <f>VLOOKUP(A763,Datos!$A$2:$H$1084,6,FALSE)</f>
        <v>10.15</v>
      </c>
      <c r="F763" t="str">
        <f>VLOOKUP(A763,Datos!$A$2:$H$1084,7,FALSE)</f>
        <v>0.00</v>
      </c>
      <c r="G763" t="str">
        <f>VLOOKUP(A763,Datos!$A$2:$H$1084,8,FALSE)</f>
        <v>0.04</v>
      </c>
    </row>
    <row r="764" spans="1:7" x14ac:dyDescent="0.3">
      <c r="A764" s="1">
        <v>79814</v>
      </c>
      <c r="B764" t="str">
        <f>VLOOKUP(A764,Datos!$A$2:$H$1084,3,FALSE)</f>
        <v>59.29</v>
      </c>
      <c r="C764" t="str">
        <f>VLOOKUP(A764,Datos!$A$2:$H$1084,4,FALSE)</f>
        <v>0.01</v>
      </c>
      <c r="D764" t="str">
        <f>VLOOKUP(A764,Datos!$A$2:$H$1084,5,FALSE)</f>
        <v>0.18</v>
      </c>
      <c r="E764" t="str">
        <f>VLOOKUP(A764,Datos!$A$2:$H$1084,6,FALSE)</f>
        <v>4.67</v>
      </c>
      <c r="F764" t="str">
        <f>VLOOKUP(A764,Datos!$A$2:$H$1084,7,FALSE)</f>
        <v>0.01</v>
      </c>
      <c r="G764" t="str">
        <f>VLOOKUP(A764,Datos!$A$2:$H$1084,8,FALSE)</f>
        <v>0.02</v>
      </c>
    </row>
    <row r="765" spans="1:7" x14ac:dyDescent="0.3">
      <c r="A765" s="1">
        <v>63441</v>
      </c>
      <c r="B765" t="str">
        <f>VLOOKUP(A765,Datos!$A$2:$H$1084,3,FALSE)</f>
        <v>51.85</v>
      </c>
      <c r="C765" t="str">
        <f>VLOOKUP(A765,Datos!$A$2:$H$1084,4,FALSE)</f>
        <v>0.00</v>
      </c>
      <c r="D765" t="str">
        <f>VLOOKUP(A765,Datos!$A$2:$H$1084,5,FALSE)</f>
        <v>0.47</v>
      </c>
      <c r="E765" t="str">
        <f>VLOOKUP(A765,Datos!$A$2:$H$1084,6,FALSE)</f>
        <v>33.80</v>
      </c>
      <c r="F765" t="str">
        <f>VLOOKUP(A765,Datos!$A$2:$H$1084,7,FALSE)</f>
        <v>0.00</v>
      </c>
      <c r="G765" t="str">
        <f>VLOOKUP(A765,Datos!$A$2:$H$1084,8,FALSE)</f>
        <v>0.04</v>
      </c>
    </row>
    <row r="766" spans="1:7" x14ac:dyDescent="0.3">
      <c r="A766" s="1">
        <v>45904</v>
      </c>
      <c r="B766" t="str">
        <f>VLOOKUP(A766,Datos!$A$2:$H$1084,3,FALSE)</f>
        <v>45.50</v>
      </c>
      <c r="C766" t="str">
        <f>VLOOKUP(A766,Datos!$A$2:$H$1084,4,FALSE)</f>
        <v>0.00</v>
      </c>
      <c r="D766" t="str">
        <f>VLOOKUP(A766,Datos!$A$2:$H$1084,5,FALSE)</f>
        <v>0.41</v>
      </c>
      <c r="E766" t="str">
        <f>VLOOKUP(A766,Datos!$A$2:$H$1084,6,FALSE)</f>
        <v>44.50</v>
      </c>
      <c r="F766" t="str">
        <f>VLOOKUP(A766,Datos!$A$2:$H$1084,7,FALSE)</f>
        <v>0.00</v>
      </c>
      <c r="G766" t="str">
        <f>VLOOKUP(A766,Datos!$A$2:$H$1084,8,FALSE)</f>
        <v>0.06</v>
      </c>
    </row>
    <row r="767" spans="1:7" x14ac:dyDescent="0.3">
      <c r="A767" s="1">
        <v>58784</v>
      </c>
      <c r="B767" t="str">
        <f>VLOOKUP(A767,Datos!$A$2:$H$1084,3,FALSE)</f>
        <v>40.55</v>
      </c>
      <c r="C767" t="str">
        <f>VLOOKUP(A767,Datos!$A$2:$H$1084,4,FALSE)</f>
        <v>0.01</v>
      </c>
      <c r="D767" t="str">
        <f>VLOOKUP(A767,Datos!$A$2:$H$1084,5,FALSE)</f>
        <v>0.20</v>
      </c>
      <c r="E767" t="str">
        <f>VLOOKUP(A767,Datos!$A$2:$H$1084,6,FALSE)</f>
        <v>10.38</v>
      </c>
      <c r="F767" t="str">
        <f>VLOOKUP(A767,Datos!$A$2:$H$1084,7,FALSE)</f>
        <v>0.01</v>
      </c>
      <c r="G767" t="str">
        <f>VLOOKUP(A767,Datos!$A$2:$H$1084,8,FALSE)</f>
        <v>0.03</v>
      </c>
    </row>
    <row r="768" spans="1:7" x14ac:dyDescent="0.3">
      <c r="A768" s="1">
        <v>808851</v>
      </c>
      <c r="B768" t="str">
        <f>VLOOKUP(A768,Datos!$A$2:$H$1084,3,FALSE)</f>
        <v>18.87</v>
      </c>
      <c r="C768" t="str">
        <f>VLOOKUP(A768,Datos!$A$2:$H$1084,4,FALSE)</f>
        <v>0.00</v>
      </c>
      <c r="D768" t="str">
        <f>VLOOKUP(A768,Datos!$A$2:$H$1084,5,FALSE)</f>
        <v>0.02</v>
      </c>
      <c r="E768" t="str">
        <f>VLOOKUP(A768,Datos!$A$2:$H$1084,6,FALSE)</f>
        <v>1.58</v>
      </c>
      <c r="F768" t="str">
        <f>VLOOKUP(A768,Datos!$A$2:$H$1084,7,FALSE)</f>
        <v>0.00</v>
      </c>
      <c r="G768" t="str">
        <f>VLOOKUP(A768,Datos!$A$2:$H$1084,8,FALSE)</f>
        <v>0.01</v>
      </c>
    </row>
    <row r="769" spans="1:7" x14ac:dyDescent="0.3">
      <c r="A769" s="1">
        <v>455104</v>
      </c>
      <c r="B769" t="str">
        <f>VLOOKUP(A769,Datos!$A$2:$H$1084,3,FALSE)</f>
        <v>97.92</v>
      </c>
      <c r="C769" t="str">
        <f>VLOOKUP(A769,Datos!$A$2:$H$1084,4,FALSE)</f>
        <v>0.00</v>
      </c>
      <c r="D769" t="str">
        <f>VLOOKUP(A769,Datos!$A$2:$H$1084,5,FALSE)</f>
        <v>0.60</v>
      </c>
      <c r="E769" t="str">
        <f>VLOOKUP(A769,Datos!$A$2:$H$1084,6,FALSE)</f>
        <v>5.44</v>
      </c>
      <c r="F769" t="str">
        <f>VLOOKUP(A769,Datos!$A$2:$H$1084,7,FALSE)</f>
        <v>0.00</v>
      </c>
      <c r="G769" t="str">
        <f>VLOOKUP(A769,Datos!$A$2:$H$1084,8,FALSE)</f>
        <v>0.06</v>
      </c>
    </row>
    <row r="770" spans="1:7" x14ac:dyDescent="0.3">
      <c r="A770" s="1">
        <v>66840</v>
      </c>
      <c r="B770" t="str">
        <f>VLOOKUP(A770,Datos!$A$2:$H$1084,3,FALSE)</f>
        <v>54.48</v>
      </c>
      <c r="C770" t="str">
        <f>VLOOKUP(A770,Datos!$A$2:$H$1084,4,FALSE)</f>
        <v>0.00</v>
      </c>
      <c r="D770" t="str">
        <f>VLOOKUP(A770,Datos!$A$2:$H$1084,5,FALSE)</f>
        <v>0.06</v>
      </c>
      <c r="E770" t="str">
        <f>VLOOKUP(A770,Datos!$A$2:$H$1084,6,FALSE)</f>
        <v>11.03</v>
      </c>
      <c r="F770" t="str">
        <f>VLOOKUP(A770,Datos!$A$2:$H$1084,7,FALSE)</f>
        <v>0.00</v>
      </c>
      <c r="G770" t="str">
        <f>VLOOKUP(A770,Datos!$A$2:$H$1084,8,FALSE)</f>
        <v>0.01</v>
      </c>
    </row>
    <row r="771" spans="1:7" x14ac:dyDescent="0.3">
      <c r="A771" s="1">
        <v>42509</v>
      </c>
      <c r="B771" t="str">
        <f>VLOOKUP(A771,Datos!$A$2:$H$1084,3,FALSE)</f>
        <v>56.74</v>
      </c>
      <c r="C771" t="str">
        <f>VLOOKUP(A771,Datos!$A$2:$H$1084,4,FALSE)</f>
        <v>0.00</v>
      </c>
      <c r="D771" t="str">
        <f>VLOOKUP(A771,Datos!$A$2:$H$1084,5,FALSE)</f>
        <v>0.39</v>
      </c>
      <c r="E771" t="str">
        <f>VLOOKUP(A771,Datos!$A$2:$H$1084,6,FALSE)</f>
        <v>6.84</v>
      </c>
      <c r="F771" t="str">
        <f>VLOOKUP(A771,Datos!$A$2:$H$1084,7,FALSE)</f>
        <v>0.00</v>
      </c>
      <c r="G771" t="str">
        <f>VLOOKUP(A771,Datos!$A$2:$H$1084,8,FALSE)</f>
        <v>0.05</v>
      </c>
    </row>
    <row r="772" spans="1:7" x14ac:dyDescent="0.3">
      <c r="A772" s="1">
        <v>61201</v>
      </c>
      <c r="B772" t="str">
        <f>VLOOKUP(A772,Datos!$A$2:$H$1084,3,FALSE)</f>
        <v>22.84</v>
      </c>
      <c r="C772" t="str">
        <f>VLOOKUP(A772,Datos!$A$2:$H$1084,4,FALSE)</f>
        <v>0.00</v>
      </c>
      <c r="D772" t="str">
        <f>VLOOKUP(A772,Datos!$A$2:$H$1084,5,FALSE)</f>
        <v>0.02</v>
      </c>
      <c r="E772" t="str">
        <f>VLOOKUP(A772,Datos!$A$2:$H$1084,6,FALSE)</f>
        <v>6.92</v>
      </c>
      <c r="F772" t="str">
        <f>VLOOKUP(A772,Datos!$A$2:$H$1084,7,FALSE)</f>
        <v>0.00</v>
      </c>
      <c r="G772" t="str">
        <f>VLOOKUP(A772,Datos!$A$2:$H$1084,8,FALSE)</f>
        <v>0.01</v>
      </c>
    </row>
    <row r="773" spans="1:7" x14ac:dyDescent="0.3">
      <c r="A773" s="1">
        <v>456472</v>
      </c>
      <c r="B773" t="str">
        <f>VLOOKUP(A773,Datos!$A$2:$H$1084,3,FALSE)</f>
        <v>89.66</v>
      </c>
      <c r="C773" t="str">
        <f>VLOOKUP(A773,Datos!$A$2:$H$1084,4,FALSE)</f>
        <v>0.00</v>
      </c>
      <c r="D773" t="str">
        <f>VLOOKUP(A773,Datos!$A$2:$H$1084,5,FALSE)</f>
        <v>2.45</v>
      </c>
      <c r="E773" t="str">
        <f>VLOOKUP(A773,Datos!$A$2:$H$1084,6,FALSE)</f>
        <v>12.29</v>
      </c>
      <c r="F773" t="str">
        <f>VLOOKUP(A773,Datos!$A$2:$H$1084,7,FALSE)</f>
        <v>0.00</v>
      </c>
      <c r="G773" t="str">
        <f>VLOOKUP(A773,Datos!$A$2:$H$1084,8,FALSE)</f>
        <v>0.10</v>
      </c>
    </row>
    <row r="774" spans="1:7" x14ac:dyDescent="0.3">
      <c r="A774" s="1">
        <v>148025</v>
      </c>
      <c r="B774" t="str">
        <f>VLOOKUP(A774,Datos!$A$2:$H$1084,3,FALSE)</f>
        <v>35.69</v>
      </c>
      <c r="C774" t="str">
        <f>VLOOKUP(A774,Datos!$A$2:$H$1084,4,FALSE)</f>
        <v>0.00</v>
      </c>
      <c r="D774" t="str">
        <f>VLOOKUP(A774,Datos!$A$2:$H$1084,5,FALSE)</f>
        <v>0.07</v>
      </c>
      <c r="E774" t="str">
        <f>VLOOKUP(A774,Datos!$A$2:$H$1084,6,FALSE)</f>
        <v>24.04</v>
      </c>
      <c r="F774" t="str">
        <f>VLOOKUP(A774,Datos!$A$2:$H$1084,7,FALSE)</f>
        <v>0.00</v>
      </c>
      <c r="G774" t="str">
        <f>VLOOKUP(A774,Datos!$A$2:$H$1084,8,FALSE)</f>
        <v>0.01</v>
      </c>
    </row>
    <row r="775" spans="1:7" x14ac:dyDescent="0.3">
      <c r="A775" s="1">
        <v>84373</v>
      </c>
      <c r="B775" t="str">
        <f>VLOOKUP(A775,Datos!$A$2:$H$1084,3,FALSE)</f>
        <v>39.84</v>
      </c>
      <c r="C775" t="str">
        <f>VLOOKUP(A775,Datos!$A$2:$H$1084,4,FALSE)</f>
        <v>0.00</v>
      </c>
      <c r="D775" t="str">
        <f>VLOOKUP(A775,Datos!$A$2:$H$1084,5,FALSE)</f>
        <v>0.08</v>
      </c>
      <c r="E775" t="str">
        <f>VLOOKUP(A775,Datos!$A$2:$H$1084,6,FALSE)</f>
        <v>10.60</v>
      </c>
      <c r="F775" t="str">
        <f>VLOOKUP(A775,Datos!$A$2:$H$1084,7,FALSE)</f>
        <v>0.00</v>
      </c>
      <c r="G775" t="str">
        <f>VLOOKUP(A775,Datos!$A$2:$H$1084,8,FALSE)</f>
        <v>0.01</v>
      </c>
    </row>
    <row r="776" spans="1:7" x14ac:dyDescent="0.3">
      <c r="A776" s="1">
        <v>146328</v>
      </c>
      <c r="B776" t="str">
        <f>VLOOKUP(A776,Datos!$A$2:$H$1084,3,FALSE)</f>
        <v>0.01</v>
      </c>
      <c r="C776" t="str">
        <f>VLOOKUP(A776,Datos!$A$2:$H$1084,4,FALSE)</f>
        <v>0.00</v>
      </c>
      <c r="D776" t="str">
        <f>VLOOKUP(A776,Datos!$A$2:$H$1084,5,FALSE)</f>
        <v>0.00</v>
      </c>
      <c r="E776" t="str">
        <f>VLOOKUP(A776,Datos!$A$2:$H$1084,6,FALSE)</f>
        <v>0.02</v>
      </c>
      <c r="F776" t="str">
        <f>VLOOKUP(A776,Datos!$A$2:$H$1084,7,FALSE)</f>
        <v>0.00</v>
      </c>
      <c r="G776" t="str">
        <f>VLOOKUP(A776,Datos!$A$2:$H$1084,8,FALSE)</f>
        <v>0.00</v>
      </c>
    </row>
    <row r="777" spans="1:7" x14ac:dyDescent="0.3">
      <c r="A777" s="1">
        <v>510817</v>
      </c>
      <c r="B777" t="str">
        <f>VLOOKUP(A777,Datos!$A$2:$H$1084,3,FALSE)</f>
        <v>42.44</v>
      </c>
      <c r="C777" t="str">
        <f>VLOOKUP(A777,Datos!$A$2:$H$1084,4,FALSE)</f>
        <v>0.00</v>
      </c>
      <c r="D777" t="str">
        <f>VLOOKUP(A777,Datos!$A$2:$H$1084,5,FALSE)</f>
        <v>0.14</v>
      </c>
      <c r="E777" t="str">
        <f>VLOOKUP(A777,Datos!$A$2:$H$1084,6,FALSE)</f>
        <v>5.81</v>
      </c>
      <c r="F777" t="str">
        <f>VLOOKUP(A777,Datos!$A$2:$H$1084,7,FALSE)</f>
        <v>0.00</v>
      </c>
      <c r="G777" t="str">
        <f>VLOOKUP(A777,Datos!$A$2:$H$1084,8,FALSE)</f>
        <v>0.02</v>
      </c>
    </row>
    <row r="778" spans="1:7" x14ac:dyDescent="0.3">
      <c r="A778" s="1">
        <v>559842</v>
      </c>
      <c r="B778" t="str">
        <f>VLOOKUP(A778,Datos!$A$2:$H$1084,3,FALSE)</f>
        <v>7.81</v>
      </c>
      <c r="C778" t="str">
        <f>VLOOKUP(A778,Datos!$A$2:$H$1084,4,FALSE)</f>
        <v>0.00</v>
      </c>
      <c r="D778" t="str">
        <f>VLOOKUP(A778,Datos!$A$2:$H$1084,5,FALSE)</f>
        <v>0.01</v>
      </c>
      <c r="E778" t="str">
        <f>VLOOKUP(A778,Datos!$A$2:$H$1084,6,FALSE)</f>
        <v>4.29</v>
      </c>
      <c r="F778" t="str">
        <f>VLOOKUP(A778,Datos!$A$2:$H$1084,7,FALSE)</f>
        <v>0.00</v>
      </c>
      <c r="G778" t="str">
        <f>VLOOKUP(A778,Datos!$A$2:$H$1084,8,FALSE)</f>
        <v>0.01</v>
      </c>
    </row>
    <row r="779" spans="1:7" x14ac:dyDescent="0.3">
      <c r="A779" s="1">
        <v>452676</v>
      </c>
      <c r="B779" t="str">
        <f>VLOOKUP(A779,Datos!$A$2:$H$1084,3,FALSE)</f>
        <v>2.15</v>
      </c>
      <c r="C779" t="str">
        <f>VLOOKUP(A779,Datos!$A$2:$H$1084,4,FALSE)</f>
        <v>0.01</v>
      </c>
      <c r="D779" t="str">
        <f>VLOOKUP(A779,Datos!$A$2:$H$1084,5,FALSE)</f>
        <v>0.01</v>
      </c>
      <c r="E779" t="str">
        <f>VLOOKUP(A779,Datos!$A$2:$H$1084,6,FALSE)</f>
        <v>0.23</v>
      </c>
      <c r="F779" t="str">
        <f>VLOOKUP(A779,Datos!$A$2:$H$1084,7,FALSE)</f>
        <v>0.00</v>
      </c>
      <c r="G779" t="str">
        <f>VLOOKUP(A779,Datos!$A$2:$H$1084,8,FALSE)</f>
        <v>0.00</v>
      </c>
    </row>
    <row r="780" spans="1:7" x14ac:dyDescent="0.3">
      <c r="A780" s="1">
        <v>168259</v>
      </c>
      <c r="B780" t="str">
        <f>VLOOKUP(A780,Datos!$A$2:$H$1084,3,FALSE)</f>
        <v>70.90</v>
      </c>
      <c r="C780" t="str">
        <f>VLOOKUP(A780,Datos!$A$2:$H$1084,4,FALSE)</f>
        <v>0.00</v>
      </c>
      <c r="D780" t="str">
        <f>VLOOKUP(A780,Datos!$A$2:$H$1084,5,FALSE)</f>
        <v>0.06</v>
      </c>
      <c r="E780" t="str">
        <f>VLOOKUP(A780,Datos!$A$2:$H$1084,6,FALSE)</f>
        <v>8.92</v>
      </c>
      <c r="F780" t="str">
        <f>VLOOKUP(A780,Datos!$A$2:$H$1084,7,FALSE)</f>
        <v>0.00</v>
      </c>
      <c r="G780" t="str">
        <f>VLOOKUP(A780,Datos!$A$2:$H$1084,8,FALSE)</f>
        <v>0.02</v>
      </c>
    </row>
    <row r="781" spans="1:7" x14ac:dyDescent="0.3">
      <c r="A781" s="1">
        <v>59745</v>
      </c>
      <c r="B781" t="str">
        <f>VLOOKUP(A781,Datos!$A$2:$H$1084,3,FALSE)</f>
        <v>49.89</v>
      </c>
      <c r="C781" t="str">
        <f>VLOOKUP(A781,Datos!$A$2:$H$1084,4,FALSE)</f>
        <v>0.00</v>
      </c>
      <c r="D781" t="str">
        <f>VLOOKUP(A781,Datos!$A$2:$H$1084,5,FALSE)</f>
        <v>0.74</v>
      </c>
      <c r="E781" t="str">
        <f>VLOOKUP(A781,Datos!$A$2:$H$1084,6,FALSE)</f>
        <v>15.08</v>
      </c>
      <c r="F781" t="str">
        <f>VLOOKUP(A781,Datos!$A$2:$H$1084,7,FALSE)</f>
        <v>0.00</v>
      </c>
      <c r="G781" t="str">
        <f>VLOOKUP(A781,Datos!$A$2:$H$1084,8,FALSE)</f>
        <v>0.11</v>
      </c>
    </row>
    <row r="782" spans="1:7" x14ac:dyDescent="0.3">
      <c r="A782" s="1">
        <v>809214</v>
      </c>
      <c r="B782" t="str">
        <f>VLOOKUP(A782,Datos!$A$2:$H$1084,3,FALSE)</f>
        <v>67.58</v>
      </c>
      <c r="C782" t="str">
        <f>VLOOKUP(A782,Datos!$A$2:$H$1084,4,FALSE)</f>
        <v>0.00</v>
      </c>
      <c r="D782" t="str">
        <f>VLOOKUP(A782,Datos!$A$2:$H$1084,5,FALSE)</f>
        <v>0.08</v>
      </c>
      <c r="E782" t="str">
        <f>VLOOKUP(A782,Datos!$A$2:$H$1084,6,FALSE)</f>
        <v>3.14</v>
      </c>
      <c r="F782" t="str">
        <f>VLOOKUP(A782,Datos!$A$2:$H$1084,7,FALSE)</f>
        <v>0.00</v>
      </c>
      <c r="G782" t="str">
        <f>VLOOKUP(A782,Datos!$A$2:$H$1084,8,FALSE)</f>
        <v>0.01</v>
      </c>
    </row>
    <row r="783" spans="1:7" x14ac:dyDescent="0.3">
      <c r="A783" s="1">
        <v>810769</v>
      </c>
      <c r="B783" t="str">
        <f>VLOOKUP(A783,Datos!$A$2:$H$1084,3,FALSE)</f>
        <v>49.60</v>
      </c>
      <c r="C783" t="str">
        <f>VLOOKUP(A783,Datos!$A$2:$H$1084,4,FALSE)</f>
        <v>0.01</v>
      </c>
      <c r="D783" t="str">
        <f>VLOOKUP(A783,Datos!$A$2:$H$1084,5,FALSE)</f>
        <v>0.23</v>
      </c>
      <c r="E783" t="str">
        <f>VLOOKUP(A783,Datos!$A$2:$H$1084,6,FALSE)</f>
        <v>4.06</v>
      </c>
      <c r="F783" t="str">
        <f>VLOOKUP(A783,Datos!$A$2:$H$1084,7,FALSE)</f>
        <v>0.00</v>
      </c>
      <c r="G783" t="str">
        <f>VLOOKUP(A783,Datos!$A$2:$H$1084,8,FALSE)</f>
        <v>0.03</v>
      </c>
    </row>
    <row r="784" spans="1:7" x14ac:dyDescent="0.3">
      <c r="A784" s="1">
        <v>92679</v>
      </c>
      <c r="B784" t="str">
        <f>VLOOKUP(A784,Datos!$A$2:$H$1084,3,FALSE)</f>
        <v>81.80</v>
      </c>
      <c r="C784" t="str">
        <f>VLOOKUP(A784,Datos!$A$2:$H$1084,4,FALSE)</f>
        <v>0.00</v>
      </c>
      <c r="D784" t="str">
        <f>VLOOKUP(A784,Datos!$A$2:$H$1084,5,FALSE)</f>
        <v>1.00</v>
      </c>
      <c r="E784" t="str">
        <f>VLOOKUP(A784,Datos!$A$2:$H$1084,6,FALSE)</f>
        <v>6.34</v>
      </c>
      <c r="F784" t="str">
        <f>VLOOKUP(A784,Datos!$A$2:$H$1084,7,FALSE)</f>
        <v>0.00</v>
      </c>
      <c r="G784" t="str">
        <f>VLOOKUP(A784,Datos!$A$2:$H$1084,8,FALSE)</f>
        <v>0.07</v>
      </c>
    </row>
    <row r="785" spans="1:7" x14ac:dyDescent="0.3">
      <c r="A785" s="1">
        <v>64025</v>
      </c>
      <c r="B785" t="str">
        <f>VLOOKUP(A785,Datos!$A$2:$H$1084,3,FALSE)</f>
        <v>38.21</v>
      </c>
      <c r="C785" t="str">
        <f>VLOOKUP(A785,Datos!$A$2:$H$1084,4,FALSE)</f>
        <v>0.00</v>
      </c>
      <c r="D785" t="str">
        <f>VLOOKUP(A785,Datos!$A$2:$H$1084,5,FALSE)</f>
        <v>0.06</v>
      </c>
      <c r="E785" t="str">
        <f>VLOOKUP(A785,Datos!$A$2:$H$1084,6,FALSE)</f>
        <v>19.91</v>
      </c>
      <c r="F785" t="str">
        <f>VLOOKUP(A785,Datos!$A$2:$H$1084,7,FALSE)</f>
        <v>0.00</v>
      </c>
      <c r="G785" t="str">
        <f>VLOOKUP(A785,Datos!$A$2:$H$1084,8,FALSE)</f>
        <v>0.02</v>
      </c>
    </row>
    <row r="786" spans="1:7" x14ac:dyDescent="0.3">
      <c r="A786" s="1">
        <v>486624</v>
      </c>
      <c r="B786" t="str">
        <f>VLOOKUP(A786,Datos!$A$2:$H$1084,3,FALSE)</f>
        <v>2.78</v>
      </c>
      <c r="C786" t="str">
        <f>VLOOKUP(A786,Datos!$A$2:$H$1084,4,FALSE)</f>
        <v>0.00</v>
      </c>
      <c r="D786" t="str">
        <f>VLOOKUP(A786,Datos!$A$2:$H$1084,5,FALSE)</f>
        <v>0.00</v>
      </c>
      <c r="E786" t="str">
        <f>VLOOKUP(A786,Datos!$A$2:$H$1084,6,FALSE)</f>
        <v>0.13</v>
      </c>
      <c r="F786" t="str">
        <f>VLOOKUP(A786,Datos!$A$2:$H$1084,7,FALSE)</f>
        <v>0.00</v>
      </c>
      <c r="G786" t="str">
        <f>VLOOKUP(A786,Datos!$A$2:$H$1084,8,FALSE)</f>
        <v>0.00</v>
      </c>
    </row>
    <row r="787" spans="1:7" x14ac:dyDescent="0.3">
      <c r="A787" s="1">
        <v>61437</v>
      </c>
      <c r="B787" t="str">
        <f>VLOOKUP(A787,Datos!$A$2:$H$1084,3,FALSE)</f>
        <v>43.42</v>
      </c>
      <c r="C787" t="str">
        <f>VLOOKUP(A787,Datos!$A$2:$H$1084,4,FALSE)</f>
        <v>0.00</v>
      </c>
      <c r="D787" t="str">
        <f>VLOOKUP(A787,Datos!$A$2:$H$1084,5,FALSE)</f>
        <v>0.11</v>
      </c>
      <c r="E787" t="str">
        <f>VLOOKUP(A787,Datos!$A$2:$H$1084,6,FALSE)</f>
        <v>17.87</v>
      </c>
      <c r="F787" t="str">
        <f>VLOOKUP(A787,Datos!$A$2:$H$1084,7,FALSE)</f>
        <v>0.00</v>
      </c>
      <c r="G787" t="str">
        <f>VLOOKUP(A787,Datos!$A$2:$H$1084,8,FALSE)</f>
        <v>0.02</v>
      </c>
    </row>
    <row r="788" spans="1:7" x14ac:dyDescent="0.3">
      <c r="A788" s="1">
        <v>397675</v>
      </c>
      <c r="B788" t="str">
        <f>VLOOKUP(A788,Datos!$A$2:$H$1084,3,FALSE)</f>
        <v>52.61</v>
      </c>
      <c r="C788" t="str">
        <f>VLOOKUP(A788,Datos!$A$2:$H$1084,4,FALSE)</f>
        <v>0.00</v>
      </c>
      <c r="D788" t="str">
        <f>VLOOKUP(A788,Datos!$A$2:$H$1084,5,FALSE)</f>
        <v>2.70</v>
      </c>
      <c r="E788" t="str">
        <f>VLOOKUP(A788,Datos!$A$2:$H$1084,6,FALSE)</f>
        <v>11.50</v>
      </c>
      <c r="F788" t="str">
        <f>VLOOKUP(A788,Datos!$A$2:$H$1084,7,FALSE)</f>
        <v>0.00</v>
      </c>
      <c r="G788" t="str">
        <f>VLOOKUP(A788,Datos!$A$2:$H$1084,8,FALSE)</f>
        <v>0.19</v>
      </c>
    </row>
    <row r="789" spans="1:7" x14ac:dyDescent="0.3">
      <c r="A789" s="1">
        <v>148978</v>
      </c>
      <c r="B789" t="str">
        <f>VLOOKUP(A789,Datos!$A$2:$H$1084,3,FALSE)</f>
        <v>49.49</v>
      </c>
      <c r="C789" t="str">
        <f>VLOOKUP(A789,Datos!$A$2:$H$1084,4,FALSE)</f>
        <v>0.01</v>
      </c>
      <c r="D789" t="str">
        <f>VLOOKUP(A789,Datos!$A$2:$H$1084,5,FALSE)</f>
        <v>0.17</v>
      </c>
      <c r="E789" t="str">
        <f>VLOOKUP(A789,Datos!$A$2:$H$1084,6,FALSE)</f>
        <v>10.74</v>
      </c>
      <c r="F789" t="str">
        <f>VLOOKUP(A789,Datos!$A$2:$H$1084,7,FALSE)</f>
        <v>0.01</v>
      </c>
      <c r="G789" t="str">
        <f>VLOOKUP(A789,Datos!$A$2:$H$1084,8,FALSE)</f>
        <v>0.03</v>
      </c>
    </row>
    <row r="790" spans="1:7" x14ac:dyDescent="0.3">
      <c r="A790" s="1">
        <v>464085</v>
      </c>
      <c r="B790" t="str">
        <f>VLOOKUP(A790,Datos!$A$2:$H$1084,3,FALSE)</f>
        <v>89.57</v>
      </c>
      <c r="C790" t="str">
        <f>VLOOKUP(A790,Datos!$A$2:$H$1084,4,FALSE)</f>
        <v>0.00</v>
      </c>
      <c r="D790" t="str">
        <f>VLOOKUP(A790,Datos!$A$2:$H$1084,5,FALSE)</f>
        <v>0.05</v>
      </c>
      <c r="E790" t="str">
        <f>VLOOKUP(A790,Datos!$A$2:$H$1084,6,FALSE)</f>
        <v>13.85</v>
      </c>
      <c r="F790" t="str">
        <f>VLOOKUP(A790,Datos!$A$2:$H$1084,7,FALSE)</f>
        <v>0.00</v>
      </c>
      <c r="G790" t="str">
        <f>VLOOKUP(A790,Datos!$A$2:$H$1084,8,FALSE)</f>
        <v>0.01</v>
      </c>
    </row>
    <row r="791" spans="1:7" x14ac:dyDescent="0.3">
      <c r="A791" s="1">
        <v>72817</v>
      </c>
      <c r="B791" t="str">
        <f>VLOOKUP(A791,Datos!$A$2:$H$1084,3,FALSE)</f>
        <v>51.41</v>
      </c>
      <c r="C791" t="str">
        <f>VLOOKUP(A791,Datos!$A$2:$H$1084,4,FALSE)</f>
        <v>0.01</v>
      </c>
      <c r="D791" t="str">
        <f>VLOOKUP(A791,Datos!$A$2:$H$1084,5,FALSE)</f>
        <v>0.30</v>
      </c>
      <c r="E791" t="str">
        <f>VLOOKUP(A791,Datos!$A$2:$H$1084,6,FALSE)</f>
        <v>2.20</v>
      </c>
      <c r="F791" t="str">
        <f>VLOOKUP(A791,Datos!$A$2:$H$1084,7,FALSE)</f>
        <v>0.01</v>
      </c>
      <c r="G791" t="str">
        <f>VLOOKUP(A791,Datos!$A$2:$H$1084,8,FALSE)</f>
        <v>0.05</v>
      </c>
    </row>
    <row r="792" spans="1:7" x14ac:dyDescent="0.3">
      <c r="A792" s="1">
        <v>79376</v>
      </c>
      <c r="B792" t="str">
        <f>VLOOKUP(A792,Datos!$A$2:$H$1084,3,FALSE)</f>
        <v>45.46</v>
      </c>
      <c r="C792" t="str">
        <f>VLOOKUP(A792,Datos!$A$2:$H$1084,4,FALSE)</f>
        <v>0.00</v>
      </c>
      <c r="D792" t="str">
        <f>VLOOKUP(A792,Datos!$A$2:$H$1084,5,FALSE)</f>
        <v>0.18</v>
      </c>
      <c r="E792" t="str">
        <f>VLOOKUP(A792,Datos!$A$2:$H$1084,6,FALSE)</f>
        <v>21.01</v>
      </c>
      <c r="F792" t="str">
        <f>VLOOKUP(A792,Datos!$A$2:$H$1084,7,FALSE)</f>
        <v>0.00</v>
      </c>
      <c r="G792" t="str">
        <f>VLOOKUP(A792,Datos!$A$2:$H$1084,8,FALSE)</f>
        <v>0.02</v>
      </c>
    </row>
    <row r="793" spans="1:7" x14ac:dyDescent="0.3">
      <c r="A793" s="1">
        <v>786712</v>
      </c>
      <c r="B793" t="str">
        <f>VLOOKUP(A793,Datos!$A$2:$H$1084,3,FALSE)</f>
        <v>53.70</v>
      </c>
      <c r="C793" t="str">
        <f>VLOOKUP(A793,Datos!$A$2:$H$1084,4,FALSE)</f>
        <v>0.01</v>
      </c>
      <c r="D793" t="str">
        <f>VLOOKUP(A793,Datos!$A$2:$H$1084,5,FALSE)</f>
        <v>0.44</v>
      </c>
      <c r="E793" t="str">
        <f>VLOOKUP(A793,Datos!$A$2:$H$1084,6,FALSE)</f>
        <v>3.21</v>
      </c>
      <c r="F793" t="str">
        <f>VLOOKUP(A793,Datos!$A$2:$H$1084,7,FALSE)</f>
        <v>0.01</v>
      </c>
      <c r="G793" t="str">
        <f>VLOOKUP(A793,Datos!$A$2:$H$1084,8,FALSE)</f>
        <v>0.04</v>
      </c>
    </row>
    <row r="794" spans="1:7" x14ac:dyDescent="0.3">
      <c r="A794" s="1">
        <v>445110</v>
      </c>
      <c r="B794" t="str">
        <f>VLOOKUP(A794,Datos!$A$2:$H$1084,3,FALSE)</f>
        <v>84.15</v>
      </c>
      <c r="C794" t="str">
        <f>VLOOKUP(A794,Datos!$A$2:$H$1084,4,FALSE)</f>
        <v>0.00</v>
      </c>
      <c r="D794" t="str">
        <f>VLOOKUP(A794,Datos!$A$2:$H$1084,5,FALSE)</f>
        <v>0.82</v>
      </c>
      <c r="E794" t="str">
        <f>VLOOKUP(A794,Datos!$A$2:$H$1084,6,FALSE)</f>
        <v>8.57</v>
      </c>
      <c r="F794" t="str">
        <f>VLOOKUP(A794,Datos!$A$2:$H$1084,7,FALSE)</f>
        <v>0.00</v>
      </c>
      <c r="G794" t="str">
        <f>VLOOKUP(A794,Datos!$A$2:$H$1084,8,FALSE)</f>
        <v>0.02</v>
      </c>
    </row>
    <row r="795" spans="1:7" x14ac:dyDescent="0.3">
      <c r="A795" s="1">
        <v>463665</v>
      </c>
      <c r="B795" t="str">
        <f>VLOOKUP(A795,Datos!$A$2:$H$1084,3,FALSE)</f>
        <v>108.03</v>
      </c>
      <c r="C795" t="str">
        <f>VLOOKUP(A795,Datos!$A$2:$H$1084,4,FALSE)</f>
        <v>0.00</v>
      </c>
      <c r="D795" t="str">
        <f>VLOOKUP(A795,Datos!$A$2:$H$1084,5,FALSE)</f>
        <v>0.30</v>
      </c>
      <c r="E795" t="str">
        <f>VLOOKUP(A795,Datos!$A$2:$H$1084,6,FALSE)</f>
        <v>14.07</v>
      </c>
      <c r="F795" t="str">
        <f>VLOOKUP(A795,Datos!$A$2:$H$1084,7,FALSE)</f>
        <v>0.00</v>
      </c>
      <c r="G795" t="str">
        <f>VLOOKUP(A795,Datos!$A$2:$H$1084,8,FALSE)</f>
        <v>0.04</v>
      </c>
    </row>
    <row r="796" spans="1:7" x14ac:dyDescent="0.3">
      <c r="A796" s="1">
        <v>155214</v>
      </c>
      <c r="B796" t="str">
        <f>VLOOKUP(A796,Datos!$A$2:$H$1084,3,FALSE)</f>
        <v>87.74</v>
      </c>
      <c r="C796" t="str">
        <f>VLOOKUP(A796,Datos!$A$2:$H$1084,4,FALSE)</f>
        <v>0.00</v>
      </c>
      <c r="D796" t="str">
        <f>VLOOKUP(A796,Datos!$A$2:$H$1084,5,FALSE)</f>
        <v>3.19</v>
      </c>
      <c r="E796" t="str">
        <f>VLOOKUP(A796,Datos!$A$2:$H$1084,6,FALSE)</f>
        <v>46.53</v>
      </c>
      <c r="F796" t="str">
        <f>VLOOKUP(A796,Datos!$A$2:$H$1084,7,FALSE)</f>
        <v>0.00</v>
      </c>
      <c r="G796" t="str">
        <f>VLOOKUP(A796,Datos!$A$2:$H$1084,8,FALSE)</f>
        <v>0.04</v>
      </c>
    </row>
    <row r="797" spans="1:7" x14ac:dyDescent="0.3">
      <c r="A797" s="1">
        <v>571844</v>
      </c>
      <c r="B797" t="str">
        <f>VLOOKUP(A797,Datos!$A$2:$H$1084,3,FALSE)</f>
        <v>89.72</v>
      </c>
      <c r="C797" t="str">
        <f>VLOOKUP(A797,Datos!$A$2:$H$1084,4,FALSE)</f>
        <v>0.00</v>
      </c>
      <c r="D797" t="str">
        <f>VLOOKUP(A797,Datos!$A$2:$H$1084,5,FALSE)</f>
        <v>0.31</v>
      </c>
      <c r="E797" t="str">
        <f>VLOOKUP(A797,Datos!$A$2:$H$1084,6,FALSE)</f>
        <v>6.23</v>
      </c>
      <c r="F797" t="str">
        <f>VLOOKUP(A797,Datos!$A$2:$H$1084,7,FALSE)</f>
        <v>0.01</v>
      </c>
      <c r="G797" t="str">
        <f>VLOOKUP(A797,Datos!$A$2:$H$1084,8,FALSE)</f>
        <v>0.04</v>
      </c>
    </row>
    <row r="798" spans="1:7" x14ac:dyDescent="0.3">
      <c r="A798" s="1">
        <v>541593</v>
      </c>
      <c r="B798" t="str">
        <f>VLOOKUP(A798,Datos!$A$2:$H$1084,3,FALSE)</f>
        <v>55.06</v>
      </c>
      <c r="C798" t="str">
        <f>VLOOKUP(A798,Datos!$A$2:$H$1084,4,FALSE)</f>
        <v>0.01</v>
      </c>
      <c r="D798" t="str">
        <f>VLOOKUP(A798,Datos!$A$2:$H$1084,5,FALSE)</f>
        <v>0.21</v>
      </c>
      <c r="E798" t="str">
        <f>VLOOKUP(A798,Datos!$A$2:$H$1084,6,FALSE)</f>
        <v>3.25</v>
      </c>
      <c r="F798" t="str">
        <f>VLOOKUP(A798,Datos!$A$2:$H$1084,7,FALSE)</f>
        <v>0.01</v>
      </c>
      <c r="G798" t="str">
        <f>VLOOKUP(A798,Datos!$A$2:$H$1084,8,FALSE)</f>
        <v>0.02</v>
      </c>
    </row>
    <row r="799" spans="1:7" x14ac:dyDescent="0.3">
      <c r="A799" s="1">
        <v>447289</v>
      </c>
      <c r="B799" t="str">
        <f>VLOOKUP(A799,Datos!$A$2:$H$1084,3,FALSE)</f>
        <v>42.32</v>
      </c>
      <c r="C799" t="str">
        <f>VLOOKUP(A799,Datos!$A$2:$H$1084,4,FALSE)</f>
        <v>0.00</v>
      </c>
      <c r="D799" t="str">
        <f>VLOOKUP(A799,Datos!$A$2:$H$1084,5,FALSE)</f>
        <v>0.26</v>
      </c>
      <c r="E799" t="str">
        <f>VLOOKUP(A799,Datos!$A$2:$H$1084,6,FALSE)</f>
        <v>15.59</v>
      </c>
      <c r="F799" t="str">
        <f>VLOOKUP(A799,Datos!$A$2:$H$1084,7,FALSE)</f>
        <v>0.00</v>
      </c>
      <c r="G799" t="str">
        <f>VLOOKUP(A799,Datos!$A$2:$H$1084,8,FALSE)</f>
        <v>0.05</v>
      </c>
    </row>
    <row r="800" spans="1:7" x14ac:dyDescent="0.3">
      <c r="A800" s="1">
        <v>441621</v>
      </c>
      <c r="B800" t="str">
        <f>VLOOKUP(A800,Datos!$A$2:$H$1084,3,FALSE)</f>
        <v>30.72</v>
      </c>
      <c r="C800" t="str">
        <f>VLOOKUP(A800,Datos!$A$2:$H$1084,4,FALSE)</f>
        <v>0.00</v>
      </c>
      <c r="D800" t="str">
        <f>VLOOKUP(A800,Datos!$A$2:$H$1084,5,FALSE)</f>
        <v>0.07</v>
      </c>
      <c r="E800" t="str">
        <f>VLOOKUP(A800,Datos!$A$2:$H$1084,6,FALSE)</f>
        <v>4.15</v>
      </c>
      <c r="F800" t="str">
        <f>VLOOKUP(A800,Datos!$A$2:$H$1084,7,FALSE)</f>
        <v>0.00</v>
      </c>
      <c r="G800" t="str">
        <f>VLOOKUP(A800,Datos!$A$2:$H$1084,8,FALSE)</f>
        <v>0.01</v>
      </c>
    </row>
    <row r="801" spans="1:7" x14ac:dyDescent="0.3">
      <c r="A801" s="1">
        <v>73195</v>
      </c>
      <c r="B801" t="str">
        <f>VLOOKUP(A801,Datos!$A$2:$H$1084,3,FALSE)</f>
        <v>52.16</v>
      </c>
      <c r="C801" t="str">
        <f>VLOOKUP(A801,Datos!$A$2:$H$1084,4,FALSE)</f>
        <v>0.00</v>
      </c>
      <c r="D801" t="str">
        <f>VLOOKUP(A801,Datos!$A$2:$H$1084,5,FALSE)</f>
        <v>0.27</v>
      </c>
      <c r="E801" t="str">
        <f>VLOOKUP(A801,Datos!$A$2:$H$1084,6,FALSE)</f>
        <v>16.33</v>
      </c>
      <c r="F801" t="str">
        <f>VLOOKUP(A801,Datos!$A$2:$H$1084,7,FALSE)</f>
        <v>0.00</v>
      </c>
      <c r="G801" t="str">
        <f>VLOOKUP(A801,Datos!$A$2:$H$1084,8,FALSE)</f>
        <v>0.05</v>
      </c>
    </row>
    <row r="802" spans="1:7" x14ac:dyDescent="0.3">
      <c r="A802" s="1">
        <v>64068</v>
      </c>
      <c r="B802" t="str">
        <f>VLOOKUP(A802,Datos!$A$2:$H$1084,3,FALSE)</f>
        <v>136.58</v>
      </c>
      <c r="C802" t="str">
        <f>VLOOKUP(A802,Datos!$A$2:$H$1084,4,FALSE)</f>
        <v>0.00</v>
      </c>
      <c r="D802" t="str">
        <f>VLOOKUP(A802,Datos!$A$2:$H$1084,5,FALSE)</f>
        <v>0.21</v>
      </c>
      <c r="E802" t="str">
        <f>VLOOKUP(A802,Datos!$A$2:$H$1084,6,FALSE)</f>
        <v>5.75</v>
      </c>
      <c r="F802" t="str">
        <f>VLOOKUP(A802,Datos!$A$2:$H$1084,7,FALSE)</f>
        <v>0.00</v>
      </c>
      <c r="G802" t="str">
        <f>VLOOKUP(A802,Datos!$A$2:$H$1084,8,FALSE)</f>
        <v>0.02</v>
      </c>
    </row>
    <row r="803" spans="1:7" x14ac:dyDescent="0.3">
      <c r="A803" s="1">
        <v>66699</v>
      </c>
      <c r="B803" t="str">
        <f>VLOOKUP(A803,Datos!$A$2:$H$1084,3,FALSE)</f>
        <v>90.47</v>
      </c>
      <c r="C803" t="str">
        <f>VLOOKUP(A803,Datos!$A$2:$H$1084,4,FALSE)</f>
        <v>0.00</v>
      </c>
      <c r="D803" t="str">
        <f>VLOOKUP(A803,Datos!$A$2:$H$1084,5,FALSE)</f>
        <v>0.20</v>
      </c>
      <c r="E803" t="str">
        <f>VLOOKUP(A803,Datos!$A$2:$H$1084,6,FALSE)</f>
        <v>6.11</v>
      </c>
      <c r="F803" t="str">
        <f>VLOOKUP(A803,Datos!$A$2:$H$1084,7,FALSE)</f>
        <v>0.00</v>
      </c>
      <c r="G803" t="str">
        <f>VLOOKUP(A803,Datos!$A$2:$H$1084,8,FALSE)</f>
        <v>0.03</v>
      </c>
    </row>
    <row r="804" spans="1:7" x14ac:dyDescent="0.3">
      <c r="A804" s="1">
        <v>62578</v>
      </c>
      <c r="B804" t="str">
        <f>VLOOKUP(A804,Datos!$A$2:$H$1084,3,FALSE)</f>
        <v>84.47</v>
      </c>
      <c r="C804" t="str">
        <f>VLOOKUP(A804,Datos!$A$2:$H$1084,4,FALSE)</f>
        <v>0.00</v>
      </c>
      <c r="D804" t="str">
        <f>VLOOKUP(A804,Datos!$A$2:$H$1084,5,FALSE)</f>
        <v>0.21</v>
      </c>
      <c r="E804" t="str">
        <f>VLOOKUP(A804,Datos!$A$2:$H$1084,6,FALSE)</f>
        <v>4.42</v>
      </c>
      <c r="F804" t="str">
        <f>VLOOKUP(A804,Datos!$A$2:$H$1084,7,FALSE)</f>
        <v>0.00</v>
      </c>
      <c r="G804" t="str">
        <f>VLOOKUP(A804,Datos!$A$2:$H$1084,8,FALSE)</f>
        <v>0.01</v>
      </c>
    </row>
    <row r="805" spans="1:7" x14ac:dyDescent="0.3">
      <c r="A805" s="1">
        <v>170832</v>
      </c>
      <c r="B805" t="str">
        <f>VLOOKUP(A805,Datos!$A$2:$H$1084,3,FALSE)</f>
        <v>129.11</v>
      </c>
      <c r="C805" t="str">
        <f>VLOOKUP(A805,Datos!$A$2:$H$1084,4,FALSE)</f>
        <v>0.00</v>
      </c>
      <c r="D805" t="str">
        <f>VLOOKUP(A805,Datos!$A$2:$H$1084,5,FALSE)</f>
        <v>2.42</v>
      </c>
      <c r="E805" t="str">
        <f>VLOOKUP(A805,Datos!$A$2:$H$1084,6,FALSE)</f>
        <v>17.57</v>
      </c>
      <c r="F805" t="str">
        <f>VLOOKUP(A805,Datos!$A$2:$H$1084,7,FALSE)</f>
        <v>0.00</v>
      </c>
      <c r="G805" t="str">
        <f>VLOOKUP(A805,Datos!$A$2:$H$1084,8,FALSE)</f>
        <v>0.01</v>
      </c>
    </row>
    <row r="806" spans="1:7" x14ac:dyDescent="0.3">
      <c r="A806" s="1">
        <v>58213</v>
      </c>
      <c r="B806" t="str">
        <f>VLOOKUP(A806,Datos!$A$2:$H$1084,3,FALSE)</f>
        <v>35.00</v>
      </c>
      <c r="C806" t="str">
        <f>VLOOKUP(A806,Datos!$A$2:$H$1084,4,FALSE)</f>
        <v>0.00</v>
      </c>
      <c r="D806" t="str">
        <f>VLOOKUP(A806,Datos!$A$2:$H$1084,5,FALSE)</f>
        <v>0.10</v>
      </c>
      <c r="E806" t="str">
        <f>VLOOKUP(A806,Datos!$A$2:$H$1084,6,FALSE)</f>
        <v>5.22</v>
      </c>
      <c r="F806" t="str">
        <f>VLOOKUP(A806,Datos!$A$2:$H$1084,7,FALSE)</f>
        <v>0.00</v>
      </c>
      <c r="G806" t="str">
        <f>VLOOKUP(A806,Datos!$A$2:$H$1084,8,FALSE)</f>
        <v>0.01</v>
      </c>
    </row>
    <row r="807" spans="1:7" x14ac:dyDescent="0.3">
      <c r="A807" s="1">
        <v>553755</v>
      </c>
      <c r="B807" t="str">
        <f>VLOOKUP(A807,Datos!$A$2:$H$1084,3,FALSE)</f>
        <v>72.64</v>
      </c>
      <c r="C807" t="str">
        <f>VLOOKUP(A807,Datos!$A$2:$H$1084,4,FALSE)</f>
        <v>0.00</v>
      </c>
      <c r="D807" t="str">
        <f>VLOOKUP(A807,Datos!$A$2:$H$1084,5,FALSE)</f>
        <v>1.11</v>
      </c>
      <c r="E807" t="str">
        <f>VLOOKUP(A807,Datos!$A$2:$H$1084,6,FALSE)</f>
        <v>93.37</v>
      </c>
      <c r="F807" t="str">
        <f>VLOOKUP(A807,Datos!$A$2:$H$1084,7,FALSE)</f>
        <v>0.00</v>
      </c>
      <c r="G807" t="str">
        <f>VLOOKUP(A807,Datos!$A$2:$H$1084,8,FALSE)</f>
        <v>0.12</v>
      </c>
    </row>
    <row r="808" spans="1:7" x14ac:dyDescent="0.3">
      <c r="A808" s="1">
        <v>168688</v>
      </c>
      <c r="B808" t="str">
        <f>VLOOKUP(A808,Datos!$A$2:$H$1084,3,FALSE)</f>
        <v>30.28</v>
      </c>
      <c r="C808" t="str">
        <f>VLOOKUP(A808,Datos!$A$2:$H$1084,4,FALSE)</f>
        <v>0.00</v>
      </c>
      <c r="D808" t="str">
        <f>VLOOKUP(A808,Datos!$A$2:$H$1084,5,FALSE)</f>
        <v>0.16</v>
      </c>
      <c r="E808" t="str">
        <f>VLOOKUP(A808,Datos!$A$2:$H$1084,6,FALSE)</f>
        <v>17.61</v>
      </c>
      <c r="F808" t="str">
        <f>VLOOKUP(A808,Datos!$A$2:$H$1084,7,FALSE)</f>
        <v>0.00</v>
      </c>
      <c r="G808" t="str">
        <f>VLOOKUP(A808,Datos!$A$2:$H$1084,8,FALSE)</f>
        <v>0.05</v>
      </c>
    </row>
    <row r="809" spans="1:7" x14ac:dyDescent="0.3">
      <c r="A809" s="1">
        <v>61927</v>
      </c>
      <c r="B809" t="str">
        <f>VLOOKUP(A809,Datos!$A$2:$H$1084,3,FALSE)</f>
        <v>18.75</v>
      </c>
      <c r="C809" t="str">
        <f>VLOOKUP(A809,Datos!$A$2:$H$1084,4,FALSE)</f>
        <v>0.00</v>
      </c>
      <c r="D809" t="str">
        <f>VLOOKUP(A809,Datos!$A$2:$H$1084,5,FALSE)</f>
        <v>0.10</v>
      </c>
      <c r="E809" t="str">
        <f>VLOOKUP(A809,Datos!$A$2:$H$1084,6,FALSE)</f>
        <v>11.29</v>
      </c>
      <c r="F809" t="str">
        <f>VLOOKUP(A809,Datos!$A$2:$H$1084,7,FALSE)</f>
        <v>0.00</v>
      </c>
      <c r="G809" t="str">
        <f>VLOOKUP(A809,Datos!$A$2:$H$1084,8,FALSE)</f>
        <v>0.01</v>
      </c>
    </row>
    <row r="810" spans="1:7" x14ac:dyDescent="0.3">
      <c r="A810" s="1">
        <v>80624</v>
      </c>
      <c r="B810" t="str">
        <f>VLOOKUP(A810,Datos!$A$2:$H$1084,3,FALSE)</f>
        <v>33.14</v>
      </c>
      <c r="C810" t="str">
        <f>VLOOKUP(A810,Datos!$A$2:$H$1084,4,FALSE)</f>
        <v>0.01</v>
      </c>
      <c r="D810" t="str">
        <f>VLOOKUP(A810,Datos!$A$2:$H$1084,5,FALSE)</f>
        <v>0.18</v>
      </c>
      <c r="E810" t="str">
        <f>VLOOKUP(A810,Datos!$A$2:$H$1084,6,FALSE)</f>
        <v>5.40</v>
      </c>
      <c r="F810" t="str">
        <f>VLOOKUP(A810,Datos!$A$2:$H$1084,7,FALSE)</f>
        <v>0.01</v>
      </c>
      <c r="G810" t="str">
        <f>VLOOKUP(A810,Datos!$A$2:$H$1084,8,FALSE)</f>
        <v>0.02</v>
      </c>
    </row>
    <row r="811" spans="1:7" x14ac:dyDescent="0.3">
      <c r="A811" s="1">
        <v>455415</v>
      </c>
      <c r="B811" t="str">
        <f>VLOOKUP(A811,Datos!$A$2:$H$1084,3,FALSE)</f>
        <v>58.36</v>
      </c>
      <c r="C811" t="str">
        <f>VLOOKUP(A811,Datos!$A$2:$H$1084,4,FALSE)</f>
        <v>0.00</v>
      </c>
      <c r="D811" t="str">
        <f>VLOOKUP(A811,Datos!$A$2:$H$1084,5,FALSE)</f>
        <v>0.46</v>
      </c>
      <c r="E811" t="str">
        <f>VLOOKUP(A811,Datos!$A$2:$H$1084,6,FALSE)</f>
        <v>4.89</v>
      </c>
      <c r="F811" t="str">
        <f>VLOOKUP(A811,Datos!$A$2:$H$1084,7,FALSE)</f>
        <v>0.00</v>
      </c>
      <c r="G811" t="str">
        <f>VLOOKUP(A811,Datos!$A$2:$H$1084,8,FALSE)</f>
        <v>0.05</v>
      </c>
    </row>
    <row r="812" spans="1:7" x14ac:dyDescent="0.3">
      <c r="A812" s="1">
        <v>649621</v>
      </c>
      <c r="B812" t="str">
        <f>VLOOKUP(A812,Datos!$A$2:$H$1084,3,FALSE)</f>
        <v>45.59</v>
      </c>
      <c r="C812" t="str">
        <f>VLOOKUP(A812,Datos!$A$2:$H$1084,4,FALSE)</f>
        <v>0.00</v>
      </c>
      <c r="D812" t="str">
        <f>VLOOKUP(A812,Datos!$A$2:$H$1084,5,FALSE)</f>
        <v>0.22</v>
      </c>
      <c r="E812" t="str">
        <f>VLOOKUP(A812,Datos!$A$2:$H$1084,6,FALSE)</f>
        <v>9.50</v>
      </c>
      <c r="F812" t="str">
        <f>VLOOKUP(A812,Datos!$A$2:$H$1084,7,FALSE)</f>
        <v>0.00</v>
      </c>
      <c r="G812" t="str">
        <f>VLOOKUP(A812,Datos!$A$2:$H$1084,8,FALSE)</f>
        <v>0.02</v>
      </c>
    </row>
    <row r="813" spans="1:7" x14ac:dyDescent="0.3">
      <c r="A813" s="1">
        <v>544054</v>
      </c>
      <c r="B813" t="str">
        <f>VLOOKUP(A813,Datos!$A$2:$H$1084,3,FALSE)</f>
        <v>11.84</v>
      </c>
      <c r="C813" t="str">
        <f>VLOOKUP(A813,Datos!$A$2:$H$1084,4,FALSE)</f>
        <v>0.00</v>
      </c>
      <c r="D813" t="str">
        <f>VLOOKUP(A813,Datos!$A$2:$H$1084,5,FALSE)</f>
        <v>0.02</v>
      </c>
      <c r="E813" t="str">
        <f>VLOOKUP(A813,Datos!$A$2:$H$1084,6,FALSE)</f>
        <v>2.04</v>
      </c>
      <c r="F813" t="str">
        <f>VLOOKUP(A813,Datos!$A$2:$H$1084,7,FALSE)</f>
        <v>0.00</v>
      </c>
      <c r="G813" t="str">
        <f>VLOOKUP(A813,Datos!$A$2:$H$1084,8,FALSE)</f>
        <v>0.01</v>
      </c>
    </row>
    <row r="814" spans="1:7" x14ac:dyDescent="0.3">
      <c r="A814" s="1">
        <v>167542</v>
      </c>
      <c r="B814" t="str">
        <f>VLOOKUP(A814,Datos!$A$2:$H$1084,3,FALSE)</f>
        <v>51.55</v>
      </c>
      <c r="C814" t="str">
        <f>VLOOKUP(A814,Datos!$A$2:$H$1084,4,FALSE)</f>
        <v>0.00</v>
      </c>
      <c r="D814" t="str">
        <f>VLOOKUP(A814,Datos!$A$2:$H$1084,5,FALSE)</f>
        <v>0.15</v>
      </c>
      <c r="E814" t="str">
        <f>VLOOKUP(A814,Datos!$A$2:$H$1084,6,FALSE)</f>
        <v>10.79</v>
      </c>
      <c r="F814" t="str">
        <f>VLOOKUP(A814,Datos!$A$2:$H$1084,7,FALSE)</f>
        <v>0.01</v>
      </c>
      <c r="G814" t="str">
        <f>VLOOKUP(A814,Datos!$A$2:$H$1084,8,FALSE)</f>
        <v>0.02</v>
      </c>
    </row>
    <row r="815" spans="1:7" x14ac:dyDescent="0.3">
      <c r="A815" s="1">
        <v>171308</v>
      </c>
      <c r="B815" t="str">
        <f>VLOOKUP(A815,Datos!$A$2:$H$1084,3,FALSE)</f>
        <v>93.70</v>
      </c>
      <c r="C815" t="str">
        <f>VLOOKUP(A815,Datos!$A$2:$H$1084,4,FALSE)</f>
        <v>0.00</v>
      </c>
      <c r="D815" t="str">
        <f>VLOOKUP(A815,Datos!$A$2:$H$1084,5,FALSE)</f>
        <v>2.11</v>
      </c>
      <c r="E815" t="str">
        <f>VLOOKUP(A815,Datos!$A$2:$H$1084,6,FALSE)</f>
        <v>3.99</v>
      </c>
      <c r="F815" t="str">
        <f>VLOOKUP(A815,Datos!$A$2:$H$1084,7,FALSE)</f>
        <v>0.00</v>
      </c>
      <c r="G815" t="str">
        <f>VLOOKUP(A815,Datos!$A$2:$H$1084,8,FALSE)</f>
        <v>0.01</v>
      </c>
    </row>
    <row r="816" spans="1:7" x14ac:dyDescent="0.3">
      <c r="A816" s="1">
        <v>170200</v>
      </c>
      <c r="B816" t="str">
        <f>VLOOKUP(A816,Datos!$A$2:$H$1084,3,FALSE)</f>
        <v>40.41</v>
      </c>
      <c r="C816" t="str">
        <f>VLOOKUP(A816,Datos!$A$2:$H$1084,4,FALSE)</f>
        <v>0.00</v>
      </c>
      <c r="D816" t="str">
        <f>VLOOKUP(A816,Datos!$A$2:$H$1084,5,FALSE)</f>
        <v>0.30</v>
      </c>
      <c r="E816" t="str">
        <f>VLOOKUP(A816,Datos!$A$2:$H$1084,6,FALSE)</f>
        <v>24.00</v>
      </c>
      <c r="F816" t="str">
        <f>VLOOKUP(A816,Datos!$A$2:$H$1084,7,FALSE)</f>
        <v>0.00</v>
      </c>
      <c r="G816" t="str">
        <f>VLOOKUP(A816,Datos!$A$2:$H$1084,8,FALSE)</f>
        <v>0.03</v>
      </c>
    </row>
    <row r="817" spans="1:7" x14ac:dyDescent="0.3">
      <c r="A817" s="1">
        <v>65459</v>
      </c>
      <c r="B817" t="str">
        <f>VLOOKUP(A817,Datos!$A$2:$H$1084,3,FALSE)</f>
        <v>56.53</v>
      </c>
      <c r="C817" t="str">
        <f>VLOOKUP(A817,Datos!$A$2:$H$1084,4,FALSE)</f>
        <v>0.00</v>
      </c>
      <c r="D817" t="str">
        <f>VLOOKUP(A817,Datos!$A$2:$H$1084,5,FALSE)</f>
        <v>0.35</v>
      </c>
      <c r="E817" t="str">
        <f>VLOOKUP(A817,Datos!$A$2:$H$1084,6,FALSE)</f>
        <v>16.22</v>
      </c>
      <c r="F817" t="str">
        <f>VLOOKUP(A817,Datos!$A$2:$H$1084,7,FALSE)</f>
        <v>0.00</v>
      </c>
      <c r="G817" t="str">
        <f>VLOOKUP(A817,Datos!$A$2:$H$1084,8,FALSE)</f>
        <v>0.06</v>
      </c>
    </row>
    <row r="818" spans="1:7" x14ac:dyDescent="0.3">
      <c r="A818" s="1">
        <v>445370</v>
      </c>
      <c r="B818" t="str">
        <f>VLOOKUP(A818,Datos!$A$2:$H$1084,3,FALSE)</f>
        <v>105.71</v>
      </c>
      <c r="C818" t="str">
        <f>VLOOKUP(A818,Datos!$A$2:$H$1084,4,FALSE)</f>
        <v>0.00</v>
      </c>
      <c r="D818" t="str">
        <f>VLOOKUP(A818,Datos!$A$2:$H$1084,5,FALSE)</f>
        <v>2.01</v>
      </c>
      <c r="E818" t="str">
        <f>VLOOKUP(A818,Datos!$A$2:$H$1084,6,FALSE)</f>
        <v>6.02</v>
      </c>
      <c r="F818" t="str">
        <f>VLOOKUP(A818,Datos!$A$2:$H$1084,7,FALSE)</f>
        <v>0.00</v>
      </c>
      <c r="G818" t="str">
        <f>VLOOKUP(A818,Datos!$A$2:$H$1084,8,FALSE)</f>
        <v>0.05</v>
      </c>
    </row>
    <row r="819" spans="1:7" x14ac:dyDescent="0.3">
      <c r="A819" s="1">
        <v>155308</v>
      </c>
      <c r="B819" t="str">
        <f>VLOOKUP(A819,Datos!$A$2:$H$1084,3,FALSE)</f>
        <v>135.47</v>
      </c>
      <c r="C819" t="str">
        <f>VLOOKUP(A819,Datos!$A$2:$H$1084,4,FALSE)</f>
        <v>0.00</v>
      </c>
      <c r="D819" t="str">
        <f>VLOOKUP(A819,Datos!$A$2:$H$1084,5,FALSE)</f>
        <v>2.15</v>
      </c>
      <c r="E819" t="str">
        <f>VLOOKUP(A819,Datos!$A$2:$H$1084,6,FALSE)</f>
        <v>16.14</v>
      </c>
      <c r="F819" t="str">
        <f>VLOOKUP(A819,Datos!$A$2:$H$1084,7,FALSE)</f>
        <v>0.00</v>
      </c>
      <c r="G819" t="str">
        <f>VLOOKUP(A819,Datos!$A$2:$H$1084,8,FALSE)</f>
        <v>0.07</v>
      </c>
    </row>
    <row r="820" spans="1:7" x14ac:dyDescent="0.3">
      <c r="A820" s="1">
        <v>450601</v>
      </c>
      <c r="B820" t="str">
        <f>VLOOKUP(A820,Datos!$A$2:$H$1084,3,FALSE)</f>
        <v>36.30</v>
      </c>
      <c r="C820" t="str">
        <f>VLOOKUP(A820,Datos!$A$2:$H$1084,4,FALSE)</f>
        <v>0.00</v>
      </c>
      <c r="D820" t="str">
        <f>VLOOKUP(A820,Datos!$A$2:$H$1084,5,FALSE)</f>
        <v>0.07</v>
      </c>
      <c r="E820" t="str">
        <f>VLOOKUP(A820,Datos!$A$2:$H$1084,6,FALSE)</f>
        <v>2.60</v>
      </c>
      <c r="F820" t="str">
        <f>VLOOKUP(A820,Datos!$A$2:$H$1084,7,FALSE)</f>
        <v>0.00</v>
      </c>
      <c r="G820" t="str">
        <f>VLOOKUP(A820,Datos!$A$2:$H$1084,8,FALSE)</f>
        <v>0.01</v>
      </c>
    </row>
    <row r="821" spans="1:7" x14ac:dyDescent="0.3">
      <c r="A821" s="1">
        <v>61343</v>
      </c>
      <c r="B821" t="str">
        <f>VLOOKUP(A821,Datos!$A$2:$H$1084,3,FALSE)</f>
        <v>24.56</v>
      </c>
      <c r="C821" t="str">
        <f>VLOOKUP(A821,Datos!$A$2:$H$1084,4,FALSE)</f>
        <v>0.00</v>
      </c>
      <c r="D821" t="str">
        <f>VLOOKUP(A821,Datos!$A$2:$H$1084,5,FALSE)</f>
        <v>0.09</v>
      </c>
      <c r="E821" t="str">
        <f>VLOOKUP(A821,Datos!$A$2:$H$1084,6,FALSE)</f>
        <v>6.60</v>
      </c>
      <c r="F821" t="str">
        <f>VLOOKUP(A821,Datos!$A$2:$H$1084,7,FALSE)</f>
        <v>0.00</v>
      </c>
      <c r="G821" t="str">
        <f>VLOOKUP(A821,Datos!$A$2:$H$1084,8,FALSE)</f>
        <v>0.02</v>
      </c>
    </row>
    <row r="822" spans="1:7" x14ac:dyDescent="0.3">
      <c r="A822" s="1">
        <v>601544</v>
      </c>
      <c r="B822" t="str">
        <f>VLOOKUP(A822,Datos!$A$2:$H$1084,3,FALSE)</f>
        <v>58.30</v>
      </c>
      <c r="C822" t="str">
        <f>VLOOKUP(A822,Datos!$A$2:$H$1084,4,FALSE)</f>
        <v>0.00</v>
      </c>
      <c r="D822" t="str">
        <f>VLOOKUP(A822,Datos!$A$2:$H$1084,5,FALSE)</f>
        <v>1.12</v>
      </c>
      <c r="E822" t="str">
        <f>VLOOKUP(A822,Datos!$A$2:$H$1084,6,FALSE)</f>
        <v>11.99</v>
      </c>
      <c r="F822" t="str">
        <f>VLOOKUP(A822,Datos!$A$2:$H$1084,7,FALSE)</f>
        <v>0.00</v>
      </c>
      <c r="G822" t="str">
        <f>VLOOKUP(A822,Datos!$A$2:$H$1084,8,FALSE)</f>
        <v>0.14</v>
      </c>
    </row>
    <row r="823" spans="1:7" x14ac:dyDescent="0.3">
      <c r="A823" s="1">
        <v>168730</v>
      </c>
      <c r="B823" t="str">
        <f>VLOOKUP(A823,Datos!$A$2:$H$1084,3,FALSE)</f>
        <v>38.82</v>
      </c>
      <c r="C823" t="str">
        <f>VLOOKUP(A823,Datos!$A$2:$H$1084,4,FALSE)</f>
        <v>0.00</v>
      </c>
      <c r="D823" t="str">
        <f>VLOOKUP(A823,Datos!$A$2:$H$1084,5,FALSE)</f>
        <v>0.07</v>
      </c>
      <c r="E823" t="str">
        <f>VLOOKUP(A823,Datos!$A$2:$H$1084,6,FALSE)</f>
        <v>10.50</v>
      </c>
      <c r="F823" t="str">
        <f>VLOOKUP(A823,Datos!$A$2:$H$1084,7,FALSE)</f>
        <v>0.00</v>
      </c>
      <c r="G823" t="str">
        <f>VLOOKUP(A823,Datos!$A$2:$H$1084,8,FALSE)</f>
        <v>0.02</v>
      </c>
    </row>
    <row r="824" spans="1:7" x14ac:dyDescent="0.3">
      <c r="A824" s="1">
        <v>809233</v>
      </c>
      <c r="B824" t="str">
        <f>VLOOKUP(A824,Datos!$A$2:$H$1084,3,FALSE)</f>
        <v>25.35</v>
      </c>
      <c r="C824" t="str">
        <f>VLOOKUP(A824,Datos!$A$2:$H$1084,4,FALSE)</f>
        <v>0.00</v>
      </c>
      <c r="D824" t="str">
        <f>VLOOKUP(A824,Datos!$A$2:$H$1084,5,FALSE)</f>
        <v>0.04</v>
      </c>
      <c r="E824" t="str">
        <f>VLOOKUP(A824,Datos!$A$2:$H$1084,6,FALSE)</f>
        <v>5.61</v>
      </c>
      <c r="F824" t="str">
        <f>VLOOKUP(A824,Datos!$A$2:$H$1084,7,FALSE)</f>
        <v>0.00</v>
      </c>
      <c r="G824" t="str">
        <f>VLOOKUP(A824,Datos!$A$2:$H$1084,8,FALSE)</f>
        <v>0.01</v>
      </c>
    </row>
    <row r="825" spans="1:7" x14ac:dyDescent="0.3">
      <c r="A825" s="1">
        <v>59439</v>
      </c>
      <c r="B825" t="str">
        <f>VLOOKUP(A825,Datos!$A$2:$H$1084,3,FALSE)</f>
        <v>22.03</v>
      </c>
      <c r="C825" t="str">
        <f>VLOOKUP(A825,Datos!$A$2:$H$1084,4,FALSE)</f>
        <v>0.00</v>
      </c>
      <c r="D825" t="str">
        <f>VLOOKUP(A825,Datos!$A$2:$H$1084,5,FALSE)</f>
        <v>0.01</v>
      </c>
      <c r="E825" t="str">
        <f>VLOOKUP(A825,Datos!$A$2:$H$1084,6,FALSE)</f>
        <v>1.43</v>
      </c>
      <c r="F825" t="str">
        <f>VLOOKUP(A825,Datos!$A$2:$H$1084,7,FALSE)</f>
        <v>0.00</v>
      </c>
      <c r="G825" t="str">
        <f>VLOOKUP(A825,Datos!$A$2:$H$1084,8,FALSE)</f>
        <v>0.00</v>
      </c>
    </row>
    <row r="826" spans="1:7" x14ac:dyDescent="0.3">
      <c r="A826" s="1">
        <v>147554</v>
      </c>
      <c r="B826" t="str">
        <f>VLOOKUP(A826,Datos!$A$2:$H$1084,3,FALSE)</f>
        <v>146.27</v>
      </c>
      <c r="C826" t="str">
        <f>VLOOKUP(A826,Datos!$A$2:$H$1084,4,FALSE)</f>
        <v>0.00</v>
      </c>
      <c r="D826" t="str">
        <f>VLOOKUP(A826,Datos!$A$2:$H$1084,5,FALSE)</f>
        <v>2.98</v>
      </c>
      <c r="E826" t="str">
        <f>VLOOKUP(A826,Datos!$A$2:$H$1084,6,FALSE)</f>
        <v>12.52</v>
      </c>
      <c r="F826" t="str">
        <f>VLOOKUP(A826,Datos!$A$2:$H$1084,7,FALSE)</f>
        <v>0.00</v>
      </c>
      <c r="G826" t="str">
        <f>VLOOKUP(A826,Datos!$A$2:$H$1084,8,FALSE)</f>
        <v>0.19</v>
      </c>
    </row>
    <row r="827" spans="1:7" x14ac:dyDescent="0.3">
      <c r="A827" s="1">
        <v>446360</v>
      </c>
      <c r="B827" t="str">
        <f>VLOOKUP(A827,Datos!$A$2:$H$1084,3,FALSE)</f>
        <v>69.59</v>
      </c>
      <c r="C827" t="str">
        <f>VLOOKUP(A827,Datos!$A$2:$H$1084,4,FALSE)</f>
        <v>0.01</v>
      </c>
      <c r="D827" t="str">
        <f>VLOOKUP(A827,Datos!$A$2:$H$1084,5,FALSE)</f>
        <v>0.67</v>
      </c>
      <c r="E827" t="str">
        <f>VLOOKUP(A827,Datos!$A$2:$H$1084,6,FALSE)</f>
        <v>11.41</v>
      </c>
      <c r="F827" t="str">
        <f>VLOOKUP(A827,Datos!$A$2:$H$1084,7,FALSE)</f>
        <v>0.01</v>
      </c>
      <c r="G827" t="str">
        <f>VLOOKUP(A827,Datos!$A$2:$H$1084,8,FALSE)</f>
        <v>0.06</v>
      </c>
    </row>
    <row r="828" spans="1:7" x14ac:dyDescent="0.3">
      <c r="A828" s="1">
        <v>87531</v>
      </c>
      <c r="B828" t="str">
        <f>VLOOKUP(A828,Datos!$A$2:$H$1084,3,FALSE)</f>
        <v>64.02</v>
      </c>
      <c r="C828" t="str">
        <f>VLOOKUP(A828,Datos!$A$2:$H$1084,4,FALSE)</f>
        <v>0.00</v>
      </c>
      <c r="D828" t="str">
        <f>VLOOKUP(A828,Datos!$A$2:$H$1084,5,FALSE)</f>
        <v>0.16</v>
      </c>
      <c r="E828" t="str">
        <f>VLOOKUP(A828,Datos!$A$2:$H$1084,6,FALSE)</f>
        <v>5.91</v>
      </c>
      <c r="F828" t="str">
        <f>VLOOKUP(A828,Datos!$A$2:$H$1084,7,FALSE)</f>
        <v>0.00</v>
      </c>
      <c r="G828" t="str">
        <f>VLOOKUP(A828,Datos!$A$2:$H$1084,8,FALSE)</f>
        <v>0.02</v>
      </c>
    </row>
    <row r="829" spans="1:7" x14ac:dyDescent="0.3">
      <c r="A829" s="1">
        <v>461082</v>
      </c>
      <c r="B829" t="str">
        <f>VLOOKUP(A829,Datos!$A$2:$H$1084,3,FALSE)</f>
        <v>18.88</v>
      </c>
      <c r="C829" t="str">
        <f>VLOOKUP(A829,Datos!$A$2:$H$1084,4,FALSE)</f>
        <v>0.00</v>
      </c>
      <c r="D829" t="str">
        <f>VLOOKUP(A829,Datos!$A$2:$H$1084,5,FALSE)</f>
        <v>0.06</v>
      </c>
      <c r="E829" t="str">
        <f>VLOOKUP(A829,Datos!$A$2:$H$1084,6,FALSE)</f>
        <v>3.10</v>
      </c>
      <c r="F829" t="str">
        <f>VLOOKUP(A829,Datos!$A$2:$H$1084,7,FALSE)</f>
        <v>0.00</v>
      </c>
      <c r="G829" t="str">
        <f>VLOOKUP(A829,Datos!$A$2:$H$1084,8,FALSE)</f>
        <v>0.01</v>
      </c>
    </row>
    <row r="830" spans="1:7" x14ac:dyDescent="0.3">
      <c r="A830" s="1">
        <v>76373</v>
      </c>
      <c r="B830" t="str">
        <f>VLOOKUP(A830,Datos!$A$2:$H$1084,3,FALSE)</f>
        <v>67.26</v>
      </c>
      <c r="C830" t="str">
        <f>VLOOKUP(A830,Datos!$A$2:$H$1084,4,FALSE)</f>
        <v>0.00</v>
      </c>
      <c r="D830" t="str">
        <f>VLOOKUP(A830,Datos!$A$2:$H$1084,5,FALSE)</f>
        <v>0.16</v>
      </c>
      <c r="E830" t="str">
        <f>VLOOKUP(A830,Datos!$A$2:$H$1084,6,FALSE)</f>
        <v>6.95</v>
      </c>
      <c r="F830" t="str">
        <f>VLOOKUP(A830,Datos!$A$2:$H$1084,7,FALSE)</f>
        <v>0.00</v>
      </c>
      <c r="G830" t="str">
        <f>VLOOKUP(A830,Datos!$A$2:$H$1084,8,FALSE)</f>
        <v>0.02</v>
      </c>
    </row>
    <row r="831" spans="1:7" x14ac:dyDescent="0.3">
      <c r="A831" s="1">
        <v>150650</v>
      </c>
      <c r="B831" t="str">
        <f>VLOOKUP(A831,Datos!$A$2:$H$1084,3,FALSE)</f>
        <v>84.69</v>
      </c>
      <c r="C831" t="str">
        <f>VLOOKUP(A831,Datos!$A$2:$H$1084,4,FALSE)</f>
        <v>0.00</v>
      </c>
      <c r="D831" t="str">
        <f>VLOOKUP(A831,Datos!$A$2:$H$1084,5,FALSE)</f>
        <v>1.40</v>
      </c>
      <c r="E831" t="str">
        <f>VLOOKUP(A831,Datos!$A$2:$H$1084,6,FALSE)</f>
        <v>16.30</v>
      </c>
      <c r="F831" t="str">
        <f>VLOOKUP(A831,Datos!$A$2:$H$1084,7,FALSE)</f>
        <v>0.00</v>
      </c>
      <c r="G831" t="str">
        <f>VLOOKUP(A831,Datos!$A$2:$H$1084,8,FALSE)</f>
        <v>0.12</v>
      </c>
    </row>
    <row r="832" spans="1:7" x14ac:dyDescent="0.3">
      <c r="A832" s="1">
        <v>62823</v>
      </c>
      <c r="B832" t="str">
        <f>VLOOKUP(A832,Datos!$A$2:$H$1084,3,FALSE)</f>
        <v>37.49</v>
      </c>
      <c r="C832" t="str">
        <f>VLOOKUP(A832,Datos!$A$2:$H$1084,4,FALSE)</f>
        <v>0.00</v>
      </c>
      <c r="D832" t="str">
        <f>VLOOKUP(A832,Datos!$A$2:$H$1084,5,FALSE)</f>
        <v>0.05</v>
      </c>
      <c r="E832" t="str">
        <f>VLOOKUP(A832,Datos!$A$2:$H$1084,6,FALSE)</f>
        <v>6.42</v>
      </c>
      <c r="F832" t="str">
        <f>VLOOKUP(A832,Datos!$A$2:$H$1084,7,FALSE)</f>
        <v>0.00</v>
      </c>
      <c r="G832" t="str">
        <f>VLOOKUP(A832,Datos!$A$2:$H$1084,8,FALSE)</f>
        <v>0.01</v>
      </c>
    </row>
    <row r="833" spans="1:7" x14ac:dyDescent="0.3">
      <c r="A833" s="1">
        <v>463670</v>
      </c>
      <c r="B833" t="str">
        <f>VLOOKUP(A833,Datos!$A$2:$H$1084,3,FALSE)</f>
        <v>38.00</v>
      </c>
      <c r="C833" t="str">
        <f>VLOOKUP(A833,Datos!$A$2:$H$1084,4,FALSE)</f>
        <v>0.00</v>
      </c>
      <c r="D833" t="str">
        <f>VLOOKUP(A833,Datos!$A$2:$H$1084,5,FALSE)</f>
        <v>0.04</v>
      </c>
      <c r="E833" t="str">
        <f>VLOOKUP(A833,Datos!$A$2:$H$1084,6,FALSE)</f>
        <v>38.73</v>
      </c>
      <c r="F833" t="str">
        <f>VLOOKUP(A833,Datos!$A$2:$H$1084,7,FALSE)</f>
        <v>0.00</v>
      </c>
      <c r="G833" t="str">
        <f>VLOOKUP(A833,Datos!$A$2:$H$1084,8,FALSE)</f>
        <v>0.01</v>
      </c>
    </row>
    <row r="834" spans="1:7" x14ac:dyDescent="0.3">
      <c r="A834" s="1">
        <v>155025</v>
      </c>
      <c r="B834" t="str">
        <f>VLOOKUP(A834,Datos!$A$2:$H$1084,3,FALSE)</f>
        <v>21.57</v>
      </c>
      <c r="C834" t="str">
        <f>VLOOKUP(A834,Datos!$A$2:$H$1084,4,FALSE)</f>
        <v>0.00</v>
      </c>
      <c r="D834" t="str">
        <f>VLOOKUP(A834,Datos!$A$2:$H$1084,5,FALSE)</f>
        <v>0.01</v>
      </c>
      <c r="E834" t="str">
        <f>VLOOKUP(A834,Datos!$A$2:$H$1084,6,FALSE)</f>
        <v>1.18</v>
      </c>
      <c r="F834" t="str">
        <f>VLOOKUP(A834,Datos!$A$2:$H$1084,7,FALSE)</f>
        <v>0.00</v>
      </c>
      <c r="G834" t="str">
        <f>VLOOKUP(A834,Datos!$A$2:$H$1084,8,FALSE)</f>
        <v>0.00</v>
      </c>
    </row>
    <row r="835" spans="1:7" x14ac:dyDescent="0.3">
      <c r="A835" s="1">
        <v>150527</v>
      </c>
      <c r="B835" t="str">
        <f>VLOOKUP(A835,Datos!$A$2:$H$1084,3,FALSE)</f>
        <v>40.09</v>
      </c>
      <c r="C835" t="str">
        <f>VLOOKUP(A835,Datos!$A$2:$H$1084,4,FALSE)</f>
        <v>0.00</v>
      </c>
      <c r="D835" t="str">
        <f>VLOOKUP(A835,Datos!$A$2:$H$1084,5,FALSE)</f>
        <v>0.39</v>
      </c>
      <c r="E835" t="str">
        <f>VLOOKUP(A835,Datos!$A$2:$H$1084,6,FALSE)</f>
        <v>2.20</v>
      </c>
      <c r="F835" t="str">
        <f>VLOOKUP(A835,Datos!$A$2:$H$1084,7,FALSE)</f>
        <v>0.00</v>
      </c>
      <c r="G835" t="str">
        <f>VLOOKUP(A835,Datos!$A$2:$H$1084,8,FALSE)</f>
        <v>0.01</v>
      </c>
    </row>
    <row r="836" spans="1:7" x14ac:dyDescent="0.3">
      <c r="A836" s="1">
        <v>158104</v>
      </c>
      <c r="B836" t="str">
        <f>VLOOKUP(A836,Datos!$A$2:$H$1084,3,FALSE)</f>
        <v>120.35</v>
      </c>
      <c r="C836" t="str">
        <f>VLOOKUP(A836,Datos!$A$2:$H$1084,4,FALSE)</f>
        <v>0.00</v>
      </c>
      <c r="D836" t="str">
        <f>VLOOKUP(A836,Datos!$A$2:$H$1084,5,FALSE)</f>
        <v>2.22</v>
      </c>
      <c r="E836" t="str">
        <f>VLOOKUP(A836,Datos!$A$2:$H$1084,6,FALSE)</f>
        <v>36.13</v>
      </c>
      <c r="F836" t="str">
        <f>VLOOKUP(A836,Datos!$A$2:$H$1084,7,FALSE)</f>
        <v>0.00</v>
      </c>
      <c r="G836" t="str">
        <f>VLOOKUP(A836,Datos!$A$2:$H$1084,8,FALSE)</f>
        <v>0.36</v>
      </c>
    </row>
    <row r="837" spans="1:7" x14ac:dyDescent="0.3">
      <c r="A837" s="1">
        <v>489825</v>
      </c>
      <c r="B837" t="str">
        <f>VLOOKUP(A837,Datos!$A$2:$H$1084,3,FALSE)</f>
        <v>21.48</v>
      </c>
      <c r="C837" t="str">
        <f>VLOOKUP(A837,Datos!$A$2:$H$1084,4,FALSE)</f>
        <v>0.00</v>
      </c>
      <c r="D837" t="str">
        <f>VLOOKUP(A837,Datos!$A$2:$H$1084,5,FALSE)</f>
        <v>0.07</v>
      </c>
      <c r="E837" t="str">
        <f>VLOOKUP(A837,Datos!$A$2:$H$1084,6,FALSE)</f>
        <v>5.43</v>
      </c>
      <c r="F837" t="str">
        <f>VLOOKUP(A837,Datos!$A$2:$H$1084,7,FALSE)</f>
        <v>0.00</v>
      </c>
      <c r="G837" t="str">
        <f>VLOOKUP(A837,Datos!$A$2:$H$1084,8,FALSE)</f>
        <v>0.01</v>
      </c>
    </row>
    <row r="838" spans="1:7" x14ac:dyDescent="0.3">
      <c r="A838" s="1">
        <v>169391</v>
      </c>
      <c r="B838" t="str">
        <f>VLOOKUP(A838,Datos!$A$2:$H$1084,3,FALSE)</f>
        <v>50.59</v>
      </c>
      <c r="C838" t="str">
        <f>VLOOKUP(A838,Datos!$A$2:$H$1084,4,FALSE)</f>
        <v>0.01</v>
      </c>
      <c r="D838" t="str">
        <f>VLOOKUP(A838,Datos!$A$2:$H$1084,5,FALSE)</f>
        <v>0.22</v>
      </c>
      <c r="E838" t="str">
        <f>VLOOKUP(A838,Datos!$A$2:$H$1084,6,FALSE)</f>
        <v>3.66</v>
      </c>
      <c r="F838" t="str">
        <f>VLOOKUP(A838,Datos!$A$2:$H$1084,7,FALSE)</f>
        <v>0.01</v>
      </c>
      <c r="G838" t="str">
        <f>VLOOKUP(A838,Datos!$A$2:$H$1084,8,FALSE)</f>
        <v>0.02</v>
      </c>
    </row>
    <row r="839" spans="1:7" x14ac:dyDescent="0.3">
      <c r="A839" s="1">
        <v>64087</v>
      </c>
      <c r="B839" t="str">
        <f>VLOOKUP(A839,Datos!$A$2:$H$1084,3,FALSE)</f>
        <v>10.98</v>
      </c>
      <c r="C839" t="str">
        <f>VLOOKUP(A839,Datos!$A$2:$H$1084,4,FALSE)</f>
        <v>0.01</v>
      </c>
      <c r="D839" t="str">
        <f>VLOOKUP(A839,Datos!$A$2:$H$1084,5,FALSE)</f>
        <v>0.02</v>
      </c>
      <c r="E839" t="str">
        <f>VLOOKUP(A839,Datos!$A$2:$H$1084,6,FALSE)</f>
        <v>8.33</v>
      </c>
      <c r="F839" t="str">
        <f>VLOOKUP(A839,Datos!$A$2:$H$1084,7,FALSE)</f>
        <v>0.01</v>
      </c>
      <c r="G839" t="str">
        <f>VLOOKUP(A839,Datos!$A$2:$H$1084,8,FALSE)</f>
        <v>0.03</v>
      </c>
    </row>
    <row r="840" spans="1:7" x14ac:dyDescent="0.3">
      <c r="A840" s="1">
        <v>91383</v>
      </c>
      <c r="B840" t="str">
        <f>VLOOKUP(A840,Datos!$A$2:$H$1084,3,FALSE)</f>
        <v>55.29</v>
      </c>
      <c r="C840" t="str">
        <f>VLOOKUP(A840,Datos!$A$2:$H$1084,4,FALSE)</f>
        <v>0.00</v>
      </c>
      <c r="D840" t="str">
        <f>VLOOKUP(A840,Datos!$A$2:$H$1084,5,FALSE)</f>
        <v>0.25</v>
      </c>
      <c r="E840" t="str">
        <f>VLOOKUP(A840,Datos!$A$2:$H$1084,6,FALSE)</f>
        <v>18.20</v>
      </c>
      <c r="F840" t="str">
        <f>VLOOKUP(A840,Datos!$A$2:$H$1084,7,FALSE)</f>
        <v>0.00</v>
      </c>
      <c r="G840" t="str">
        <f>VLOOKUP(A840,Datos!$A$2:$H$1084,8,FALSE)</f>
        <v>0.03</v>
      </c>
    </row>
    <row r="841" spans="1:7" x14ac:dyDescent="0.3">
      <c r="A841" s="1">
        <v>467847</v>
      </c>
      <c r="B841" t="str">
        <f>VLOOKUP(A841,Datos!$A$2:$H$1084,3,FALSE)</f>
        <v>31.09</v>
      </c>
      <c r="C841" t="str">
        <f>VLOOKUP(A841,Datos!$A$2:$H$1084,4,FALSE)</f>
        <v>0.00</v>
      </c>
      <c r="D841" t="str">
        <f>VLOOKUP(A841,Datos!$A$2:$H$1084,5,FALSE)</f>
        <v>0.09</v>
      </c>
      <c r="E841" t="str">
        <f>VLOOKUP(A841,Datos!$A$2:$H$1084,6,FALSE)</f>
        <v>5.67</v>
      </c>
      <c r="F841" t="str">
        <f>VLOOKUP(A841,Datos!$A$2:$H$1084,7,FALSE)</f>
        <v>0.00</v>
      </c>
      <c r="G841" t="str">
        <f>VLOOKUP(A841,Datos!$A$2:$H$1084,8,FALSE)</f>
        <v>0.01</v>
      </c>
    </row>
    <row r="842" spans="1:7" x14ac:dyDescent="0.3">
      <c r="A842" s="1">
        <v>47578</v>
      </c>
      <c r="B842" t="str">
        <f>VLOOKUP(A842,Datos!$A$2:$H$1084,3,FALSE)</f>
        <v>20.84</v>
      </c>
      <c r="C842" t="str">
        <f>VLOOKUP(A842,Datos!$A$2:$H$1084,4,FALSE)</f>
        <v>0.00</v>
      </c>
      <c r="D842" t="str">
        <f>VLOOKUP(A842,Datos!$A$2:$H$1084,5,FALSE)</f>
        <v>0.06</v>
      </c>
      <c r="E842" t="str">
        <f>VLOOKUP(A842,Datos!$A$2:$H$1084,6,FALSE)</f>
        <v>0.99</v>
      </c>
      <c r="F842" t="str">
        <f>VLOOKUP(A842,Datos!$A$2:$H$1084,7,FALSE)</f>
        <v>0.00</v>
      </c>
      <c r="G842" t="str">
        <f>VLOOKUP(A842,Datos!$A$2:$H$1084,8,FALSE)</f>
        <v>0.01</v>
      </c>
    </row>
    <row r="843" spans="1:7" x14ac:dyDescent="0.3">
      <c r="A843" s="1">
        <v>58109</v>
      </c>
      <c r="B843" t="str">
        <f>VLOOKUP(A843,Datos!$A$2:$H$1084,3,FALSE)</f>
        <v>28.27</v>
      </c>
      <c r="C843" t="str">
        <f>VLOOKUP(A843,Datos!$A$2:$H$1084,4,FALSE)</f>
        <v>0.00</v>
      </c>
      <c r="D843" t="str">
        <f>VLOOKUP(A843,Datos!$A$2:$H$1084,5,FALSE)</f>
        <v>0.02</v>
      </c>
      <c r="E843" t="str">
        <f>VLOOKUP(A843,Datos!$A$2:$H$1084,6,FALSE)</f>
        <v>6.63</v>
      </c>
      <c r="F843" t="str">
        <f>VLOOKUP(A843,Datos!$A$2:$H$1084,7,FALSE)</f>
        <v>0.00</v>
      </c>
      <c r="G843" t="str">
        <f>VLOOKUP(A843,Datos!$A$2:$H$1084,8,FALSE)</f>
        <v>0.01</v>
      </c>
    </row>
    <row r="844" spans="1:7" x14ac:dyDescent="0.3">
      <c r="A844" s="1">
        <v>72271</v>
      </c>
      <c r="B844" t="str">
        <f>VLOOKUP(A844,Datos!$A$2:$H$1084,3,FALSE)</f>
        <v>48.97</v>
      </c>
      <c r="C844" t="str">
        <f>VLOOKUP(A844,Datos!$A$2:$H$1084,4,FALSE)</f>
        <v>0.00</v>
      </c>
      <c r="D844" t="str">
        <f>VLOOKUP(A844,Datos!$A$2:$H$1084,5,FALSE)</f>
        <v>0.14</v>
      </c>
      <c r="E844" t="str">
        <f>VLOOKUP(A844,Datos!$A$2:$H$1084,6,FALSE)</f>
        <v>9.96</v>
      </c>
      <c r="F844" t="str">
        <f>VLOOKUP(A844,Datos!$A$2:$H$1084,7,FALSE)</f>
        <v>0.00</v>
      </c>
      <c r="G844" t="str">
        <f>VLOOKUP(A844,Datos!$A$2:$H$1084,8,FALSE)</f>
        <v>0.01</v>
      </c>
    </row>
    <row r="845" spans="1:7" x14ac:dyDescent="0.3">
      <c r="A845" s="1">
        <v>62639</v>
      </c>
      <c r="B845" t="str">
        <f>VLOOKUP(A845,Datos!$A$2:$H$1084,3,FALSE)</f>
        <v>45.67</v>
      </c>
      <c r="C845" t="str">
        <f>VLOOKUP(A845,Datos!$A$2:$H$1084,4,FALSE)</f>
        <v>0.00</v>
      </c>
      <c r="D845" t="str">
        <f>VLOOKUP(A845,Datos!$A$2:$H$1084,5,FALSE)</f>
        <v>1.07</v>
      </c>
      <c r="E845" t="str">
        <f>VLOOKUP(A845,Datos!$A$2:$H$1084,6,FALSE)</f>
        <v>20.52</v>
      </c>
      <c r="F845" t="str">
        <f>VLOOKUP(A845,Datos!$A$2:$H$1084,7,FALSE)</f>
        <v>0.00</v>
      </c>
      <c r="G845" t="str">
        <f>VLOOKUP(A845,Datos!$A$2:$H$1084,8,FALSE)</f>
        <v>0.10</v>
      </c>
    </row>
    <row r="846" spans="1:7" x14ac:dyDescent="0.3">
      <c r="A846" s="1">
        <v>57992</v>
      </c>
      <c r="B846" t="str">
        <f>VLOOKUP(A846,Datos!$A$2:$H$1084,3,FALSE)</f>
        <v>17.50</v>
      </c>
      <c r="C846" t="str">
        <f>VLOOKUP(A846,Datos!$A$2:$H$1084,4,FALSE)</f>
        <v>0.00</v>
      </c>
      <c r="D846" t="str">
        <f>VLOOKUP(A846,Datos!$A$2:$H$1084,5,FALSE)</f>
        <v>0.03</v>
      </c>
      <c r="E846" t="str">
        <f>VLOOKUP(A846,Datos!$A$2:$H$1084,6,FALSE)</f>
        <v>2.30</v>
      </c>
      <c r="F846" t="str">
        <f>VLOOKUP(A846,Datos!$A$2:$H$1084,7,FALSE)</f>
        <v>0.00</v>
      </c>
      <c r="G846" t="str">
        <f>VLOOKUP(A846,Datos!$A$2:$H$1084,8,FALSE)</f>
        <v>0.01</v>
      </c>
    </row>
    <row r="847" spans="1:7" x14ac:dyDescent="0.3">
      <c r="A847" s="1">
        <v>168810</v>
      </c>
      <c r="B847" t="str">
        <f>VLOOKUP(A847,Datos!$A$2:$H$1084,3,FALSE)</f>
        <v>70.14</v>
      </c>
      <c r="C847" t="str">
        <f>VLOOKUP(A847,Datos!$A$2:$H$1084,4,FALSE)</f>
        <v>0.00</v>
      </c>
      <c r="D847" t="str">
        <f>VLOOKUP(A847,Datos!$A$2:$H$1084,5,FALSE)</f>
        <v>0.31</v>
      </c>
      <c r="E847" t="str">
        <f>VLOOKUP(A847,Datos!$A$2:$H$1084,6,FALSE)</f>
        <v>34.58</v>
      </c>
      <c r="F847" t="str">
        <f>VLOOKUP(A847,Datos!$A$2:$H$1084,7,FALSE)</f>
        <v>0.00</v>
      </c>
      <c r="G847" t="str">
        <f>VLOOKUP(A847,Datos!$A$2:$H$1084,8,FALSE)</f>
        <v>0.03</v>
      </c>
    </row>
    <row r="848" spans="1:7" x14ac:dyDescent="0.3">
      <c r="A848" s="1">
        <v>399896</v>
      </c>
      <c r="B848" t="str">
        <f>VLOOKUP(A848,Datos!$A$2:$H$1084,3,FALSE)</f>
        <v>124.23</v>
      </c>
      <c r="C848" t="str">
        <f>VLOOKUP(A848,Datos!$A$2:$H$1084,4,FALSE)</f>
        <v>0.00</v>
      </c>
      <c r="D848" t="str">
        <f>VLOOKUP(A848,Datos!$A$2:$H$1084,5,FALSE)</f>
        <v>0.82</v>
      </c>
      <c r="E848" t="str">
        <f>VLOOKUP(A848,Datos!$A$2:$H$1084,6,FALSE)</f>
        <v>21.72</v>
      </c>
      <c r="F848" t="str">
        <f>VLOOKUP(A848,Datos!$A$2:$H$1084,7,FALSE)</f>
        <v>0.00</v>
      </c>
      <c r="G848" t="str">
        <f>VLOOKUP(A848,Datos!$A$2:$H$1084,8,FALSE)</f>
        <v>0.10</v>
      </c>
    </row>
    <row r="849" spans="1:7" x14ac:dyDescent="0.3">
      <c r="A849" s="1">
        <v>91694</v>
      </c>
      <c r="B849" t="str">
        <f>VLOOKUP(A849,Datos!$A$2:$H$1084,3,FALSE)</f>
        <v>44.86</v>
      </c>
      <c r="C849" t="str">
        <f>VLOOKUP(A849,Datos!$A$2:$H$1084,4,FALSE)</f>
        <v>0.00</v>
      </c>
      <c r="D849" t="str">
        <f>VLOOKUP(A849,Datos!$A$2:$H$1084,5,FALSE)</f>
        <v>0.52</v>
      </c>
      <c r="E849" t="str">
        <f>VLOOKUP(A849,Datos!$A$2:$H$1084,6,FALSE)</f>
        <v>35.33</v>
      </c>
      <c r="F849" t="str">
        <f>VLOOKUP(A849,Datos!$A$2:$H$1084,7,FALSE)</f>
        <v>0.00</v>
      </c>
      <c r="G849" t="str">
        <f>VLOOKUP(A849,Datos!$A$2:$H$1084,8,FALSE)</f>
        <v>0.11</v>
      </c>
    </row>
    <row r="850" spans="1:7" x14ac:dyDescent="0.3">
      <c r="A850" s="1">
        <v>155412</v>
      </c>
      <c r="B850" t="str">
        <f>VLOOKUP(A850,Datos!$A$2:$H$1084,3,FALSE)</f>
        <v>108.83</v>
      </c>
      <c r="C850" t="str">
        <f>VLOOKUP(A850,Datos!$A$2:$H$1084,4,FALSE)</f>
        <v>0.00</v>
      </c>
      <c r="D850" t="str">
        <f>VLOOKUP(A850,Datos!$A$2:$H$1084,5,FALSE)</f>
        <v>1.84</v>
      </c>
      <c r="E850" t="str">
        <f>VLOOKUP(A850,Datos!$A$2:$H$1084,6,FALSE)</f>
        <v>5.32</v>
      </c>
      <c r="F850" t="str">
        <f>VLOOKUP(A850,Datos!$A$2:$H$1084,7,FALSE)</f>
        <v>0.00</v>
      </c>
      <c r="G850" t="str">
        <f>VLOOKUP(A850,Datos!$A$2:$H$1084,8,FALSE)</f>
        <v>0.02</v>
      </c>
    </row>
    <row r="851" spans="1:7" x14ac:dyDescent="0.3">
      <c r="A851" s="1">
        <v>167995</v>
      </c>
      <c r="B851" t="str">
        <f>VLOOKUP(A851,Datos!$A$2:$H$1084,3,FALSE)</f>
        <v>34.33</v>
      </c>
      <c r="C851" t="str">
        <f>VLOOKUP(A851,Datos!$A$2:$H$1084,4,FALSE)</f>
        <v>0.00</v>
      </c>
      <c r="D851" t="str">
        <f>VLOOKUP(A851,Datos!$A$2:$H$1084,5,FALSE)</f>
        <v>0.15</v>
      </c>
      <c r="E851" t="str">
        <f>VLOOKUP(A851,Datos!$A$2:$H$1084,6,FALSE)</f>
        <v>11.42</v>
      </c>
      <c r="F851" t="str">
        <f>VLOOKUP(A851,Datos!$A$2:$H$1084,7,FALSE)</f>
        <v>0.00</v>
      </c>
      <c r="G851" t="str">
        <f>VLOOKUP(A851,Datos!$A$2:$H$1084,8,FALSE)</f>
        <v>0.01</v>
      </c>
    </row>
    <row r="852" spans="1:7" x14ac:dyDescent="0.3">
      <c r="A852" s="1">
        <v>146210</v>
      </c>
      <c r="B852" t="str">
        <f>VLOOKUP(A852,Datos!$A$2:$H$1084,3,FALSE)</f>
        <v>49.41</v>
      </c>
      <c r="C852" t="str">
        <f>VLOOKUP(A852,Datos!$A$2:$H$1084,4,FALSE)</f>
        <v>0.00</v>
      </c>
      <c r="D852" t="str">
        <f>VLOOKUP(A852,Datos!$A$2:$H$1084,5,FALSE)</f>
        <v>0.38</v>
      </c>
      <c r="E852" t="str">
        <f>VLOOKUP(A852,Datos!$A$2:$H$1084,6,FALSE)</f>
        <v>9.92</v>
      </c>
      <c r="F852" t="str">
        <f>VLOOKUP(A852,Datos!$A$2:$H$1084,7,FALSE)</f>
        <v>0.00</v>
      </c>
      <c r="G852" t="str">
        <f>VLOOKUP(A852,Datos!$A$2:$H$1084,8,FALSE)</f>
        <v>0.03</v>
      </c>
    </row>
    <row r="853" spans="1:7" x14ac:dyDescent="0.3">
      <c r="A853" s="1">
        <v>533890</v>
      </c>
      <c r="B853" t="str">
        <f>VLOOKUP(A853,Datos!$A$2:$H$1084,3,FALSE)</f>
        <v>48.40</v>
      </c>
      <c r="C853" t="str">
        <f>VLOOKUP(A853,Datos!$A$2:$H$1084,4,FALSE)</f>
        <v>0.00</v>
      </c>
      <c r="D853" t="str">
        <f>VLOOKUP(A853,Datos!$A$2:$H$1084,5,FALSE)</f>
        <v>1.99</v>
      </c>
      <c r="E853" t="str">
        <f>VLOOKUP(A853,Datos!$A$2:$H$1084,6,FALSE)</f>
        <v>16.33</v>
      </c>
      <c r="F853" t="str">
        <f>VLOOKUP(A853,Datos!$A$2:$H$1084,7,FALSE)</f>
        <v>0.00</v>
      </c>
      <c r="G853" t="str">
        <f>VLOOKUP(A853,Datos!$A$2:$H$1084,8,FALSE)</f>
        <v>0.20</v>
      </c>
    </row>
    <row r="854" spans="1:7" x14ac:dyDescent="0.3">
      <c r="A854" s="1">
        <v>65421</v>
      </c>
      <c r="B854" t="str">
        <f>VLOOKUP(A854,Datos!$A$2:$H$1084,3,FALSE)</f>
        <v>104.03</v>
      </c>
      <c r="C854" t="str">
        <f>VLOOKUP(A854,Datos!$A$2:$H$1084,4,FALSE)</f>
        <v>0.00</v>
      </c>
      <c r="D854" t="str">
        <f>VLOOKUP(A854,Datos!$A$2:$H$1084,5,FALSE)</f>
        <v>0.58</v>
      </c>
      <c r="E854" t="str">
        <f>VLOOKUP(A854,Datos!$A$2:$H$1084,6,FALSE)</f>
        <v>16.77</v>
      </c>
      <c r="F854" t="str">
        <f>VLOOKUP(A854,Datos!$A$2:$H$1084,7,FALSE)</f>
        <v>0.00</v>
      </c>
      <c r="G854" t="str">
        <f>VLOOKUP(A854,Datos!$A$2:$H$1084,8,FALSE)</f>
        <v>0.08</v>
      </c>
    </row>
    <row r="855" spans="1:7" x14ac:dyDescent="0.3">
      <c r="A855" s="1">
        <v>148134</v>
      </c>
      <c r="B855" t="str">
        <f>VLOOKUP(A855,Datos!$A$2:$H$1084,3,FALSE)</f>
        <v>89.54</v>
      </c>
      <c r="C855" t="str">
        <f>VLOOKUP(A855,Datos!$A$2:$H$1084,4,FALSE)</f>
        <v>0.01</v>
      </c>
      <c r="D855" t="str">
        <f>VLOOKUP(A855,Datos!$A$2:$H$1084,5,FALSE)</f>
        <v>0.40</v>
      </c>
      <c r="E855" t="str">
        <f>VLOOKUP(A855,Datos!$A$2:$H$1084,6,FALSE)</f>
        <v>9.22</v>
      </c>
      <c r="F855" t="str">
        <f>VLOOKUP(A855,Datos!$A$2:$H$1084,7,FALSE)</f>
        <v>0.01</v>
      </c>
      <c r="G855" t="str">
        <f>VLOOKUP(A855,Datos!$A$2:$H$1084,8,FALSE)</f>
        <v>0.05</v>
      </c>
    </row>
    <row r="856" spans="1:7" x14ac:dyDescent="0.3">
      <c r="A856" s="1">
        <v>79545</v>
      </c>
      <c r="B856" t="str">
        <f>VLOOKUP(A856,Datos!$A$2:$H$1084,3,FALSE)</f>
        <v>18.08</v>
      </c>
      <c r="C856" t="str">
        <f>VLOOKUP(A856,Datos!$A$2:$H$1084,4,FALSE)</f>
        <v>0.00</v>
      </c>
      <c r="D856" t="str">
        <f>VLOOKUP(A856,Datos!$A$2:$H$1084,5,FALSE)</f>
        <v>0.02</v>
      </c>
      <c r="E856" t="str">
        <f>VLOOKUP(A856,Datos!$A$2:$H$1084,6,FALSE)</f>
        <v>1.34</v>
      </c>
      <c r="F856" t="str">
        <f>VLOOKUP(A856,Datos!$A$2:$H$1084,7,FALSE)</f>
        <v>0.00</v>
      </c>
      <c r="G856" t="str">
        <f>VLOOKUP(A856,Datos!$A$2:$H$1084,8,FALSE)</f>
        <v>0.01</v>
      </c>
    </row>
    <row r="857" spans="1:7" x14ac:dyDescent="0.3">
      <c r="A857" s="1">
        <v>459319</v>
      </c>
      <c r="B857" t="str">
        <f>VLOOKUP(A857,Datos!$A$2:$H$1084,3,FALSE)</f>
        <v>55.48</v>
      </c>
      <c r="C857" t="str">
        <f>VLOOKUP(A857,Datos!$A$2:$H$1084,4,FALSE)</f>
        <v>0.00</v>
      </c>
      <c r="D857" t="str">
        <f>VLOOKUP(A857,Datos!$A$2:$H$1084,5,FALSE)</f>
        <v>0.06</v>
      </c>
      <c r="E857" t="str">
        <f>VLOOKUP(A857,Datos!$A$2:$H$1084,6,FALSE)</f>
        <v>5.04</v>
      </c>
      <c r="F857" t="str">
        <f>VLOOKUP(A857,Datos!$A$2:$H$1084,7,FALSE)</f>
        <v>0.00</v>
      </c>
      <c r="G857" t="str">
        <f>VLOOKUP(A857,Datos!$A$2:$H$1084,8,FALSE)</f>
        <v>0.01</v>
      </c>
    </row>
    <row r="858" spans="1:7" x14ac:dyDescent="0.3">
      <c r="A858" s="1">
        <v>67547</v>
      </c>
      <c r="B858" t="str">
        <f>VLOOKUP(A858,Datos!$A$2:$H$1084,3,FALSE)</f>
        <v>25.13</v>
      </c>
      <c r="C858" t="str">
        <f>VLOOKUP(A858,Datos!$A$2:$H$1084,4,FALSE)</f>
        <v>0.01</v>
      </c>
      <c r="D858" t="str">
        <f>VLOOKUP(A858,Datos!$A$2:$H$1084,5,FALSE)</f>
        <v>0.09</v>
      </c>
      <c r="E858" t="str">
        <f>VLOOKUP(A858,Datos!$A$2:$H$1084,6,FALSE)</f>
        <v>6.86</v>
      </c>
      <c r="F858" t="str">
        <f>VLOOKUP(A858,Datos!$A$2:$H$1084,7,FALSE)</f>
        <v>0.01</v>
      </c>
      <c r="G858" t="str">
        <f>VLOOKUP(A858,Datos!$A$2:$H$1084,8,FALSE)</f>
        <v>0.03</v>
      </c>
    </row>
    <row r="859" spans="1:7" x14ac:dyDescent="0.3">
      <c r="A859" s="1">
        <v>151409</v>
      </c>
      <c r="B859" t="str">
        <f>VLOOKUP(A859,Datos!$A$2:$H$1084,3,FALSE)</f>
        <v>208.93</v>
      </c>
      <c r="C859" t="str">
        <f>VLOOKUP(A859,Datos!$A$2:$H$1084,4,FALSE)</f>
        <v>0.00</v>
      </c>
      <c r="D859" t="str">
        <f>VLOOKUP(A859,Datos!$A$2:$H$1084,5,FALSE)</f>
        <v>0.43</v>
      </c>
      <c r="E859" t="str">
        <f>VLOOKUP(A859,Datos!$A$2:$H$1084,6,FALSE)</f>
        <v>21.93</v>
      </c>
      <c r="F859" t="str">
        <f>VLOOKUP(A859,Datos!$A$2:$H$1084,7,FALSE)</f>
        <v>0.00</v>
      </c>
      <c r="G859" t="str">
        <f>VLOOKUP(A859,Datos!$A$2:$H$1084,8,FALSE)</f>
        <v>0.04</v>
      </c>
    </row>
    <row r="860" spans="1:7" x14ac:dyDescent="0.3">
      <c r="A860" s="1">
        <v>155134</v>
      </c>
      <c r="B860" t="str">
        <f>VLOOKUP(A860,Datos!$A$2:$H$1084,3,FALSE)</f>
        <v>101.48</v>
      </c>
      <c r="C860" t="str">
        <f>VLOOKUP(A860,Datos!$A$2:$H$1084,4,FALSE)</f>
        <v>0.00</v>
      </c>
      <c r="D860" t="str">
        <f>VLOOKUP(A860,Datos!$A$2:$H$1084,5,FALSE)</f>
        <v>0.53</v>
      </c>
      <c r="E860" t="str">
        <f>VLOOKUP(A860,Datos!$A$2:$H$1084,6,FALSE)</f>
        <v>5.30</v>
      </c>
      <c r="F860" t="str">
        <f>VLOOKUP(A860,Datos!$A$2:$H$1084,7,FALSE)</f>
        <v>0.00</v>
      </c>
      <c r="G860" t="str">
        <f>VLOOKUP(A860,Datos!$A$2:$H$1084,8,FALSE)</f>
        <v>0.04</v>
      </c>
    </row>
    <row r="861" spans="1:7" x14ac:dyDescent="0.3">
      <c r="A861" s="1">
        <v>91967</v>
      </c>
      <c r="B861" t="str">
        <f>VLOOKUP(A861,Datos!$A$2:$H$1084,3,FALSE)</f>
        <v>39.98</v>
      </c>
      <c r="C861" t="str">
        <f>VLOOKUP(A861,Datos!$A$2:$H$1084,4,FALSE)</f>
        <v>0.00</v>
      </c>
      <c r="D861" t="str">
        <f>VLOOKUP(A861,Datos!$A$2:$H$1084,5,FALSE)</f>
        <v>0.34</v>
      </c>
      <c r="E861" t="str">
        <f>VLOOKUP(A861,Datos!$A$2:$H$1084,6,FALSE)</f>
        <v>8.73</v>
      </c>
      <c r="F861" t="str">
        <f>VLOOKUP(A861,Datos!$A$2:$H$1084,7,FALSE)</f>
        <v>0.00</v>
      </c>
      <c r="G861" t="str">
        <f>VLOOKUP(A861,Datos!$A$2:$H$1084,8,FALSE)</f>
        <v>0.06</v>
      </c>
    </row>
    <row r="862" spans="1:7" x14ac:dyDescent="0.3">
      <c r="A862" s="1">
        <v>463651</v>
      </c>
      <c r="B862" t="str">
        <f>VLOOKUP(A862,Datos!$A$2:$H$1084,3,FALSE)</f>
        <v>87.67</v>
      </c>
      <c r="C862" t="str">
        <f>VLOOKUP(A862,Datos!$A$2:$H$1084,4,FALSE)</f>
        <v>0.00</v>
      </c>
      <c r="D862" t="str">
        <f>VLOOKUP(A862,Datos!$A$2:$H$1084,5,FALSE)</f>
        <v>3.00</v>
      </c>
      <c r="E862" t="str">
        <f>VLOOKUP(A862,Datos!$A$2:$H$1084,6,FALSE)</f>
        <v>3.23</v>
      </c>
      <c r="F862" t="str">
        <f>VLOOKUP(A862,Datos!$A$2:$H$1084,7,FALSE)</f>
        <v>0.00</v>
      </c>
      <c r="G862" t="str">
        <f>VLOOKUP(A862,Datos!$A$2:$H$1084,8,FALSE)</f>
        <v>0.20</v>
      </c>
    </row>
    <row r="863" spans="1:7" x14ac:dyDescent="0.3">
      <c r="A863" s="1">
        <v>152574</v>
      </c>
      <c r="B863" t="str">
        <f>VLOOKUP(A863,Datos!$A$2:$H$1084,3,FALSE)</f>
        <v>37.43</v>
      </c>
      <c r="C863" t="str">
        <f>VLOOKUP(A863,Datos!$A$2:$H$1084,4,FALSE)</f>
        <v>0.00</v>
      </c>
      <c r="D863" t="str">
        <f>VLOOKUP(A863,Datos!$A$2:$H$1084,5,FALSE)</f>
        <v>0.05</v>
      </c>
      <c r="E863" t="str">
        <f>VLOOKUP(A863,Datos!$A$2:$H$1084,6,FALSE)</f>
        <v>10.71</v>
      </c>
      <c r="F863" t="str">
        <f>VLOOKUP(A863,Datos!$A$2:$H$1084,7,FALSE)</f>
        <v>0.00</v>
      </c>
      <c r="G863" t="str">
        <f>VLOOKUP(A863,Datos!$A$2:$H$1084,8,FALSE)</f>
        <v>0.01</v>
      </c>
    </row>
    <row r="864" spans="1:7" x14ac:dyDescent="0.3">
      <c r="A864" s="1">
        <v>49394</v>
      </c>
      <c r="B864" t="str">
        <f>VLOOKUP(A864,Datos!$A$2:$H$1084,3,FALSE)</f>
        <v>50.75</v>
      </c>
      <c r="C864" t="str">
        <f>VLOOKUP(A864,Datos!$A$2:$H$1084,4,FALSE)</f>
        <v>0.00</v>
      </c>
      <c r="D864" t="str">
        <f>VLOOKUP(A864,Datos!$A$2:$H$1084,5,FALSE)</f>
        <v>0.24</v>
      </c>
      <c r="E864" t="str">
        <f>VLOOKUP(A864,Datos!$A$2:$H$1084,6,FALSE)</f>
        <v>5.57</v>
      </c>
      <c r="F864" t="str">
        <f>VLOOKUP(A864,Datos!$A$2:$H$1084,7,FALSE)</f>
        <v>0.00</v>
      </c>
      <c r="G864" t="str">
        <f>VLOOKUP(A864,Datos!$A$2:$H$1084,8,FALSE)</f>
        <v>0.02</v>
      </c>
    </row>
    <row r="865" spans="1:7" x14ac:dyDescent="0.3">
      <c r="A865" s="1">
        <v>43330</v>
      </c>
      <c r="B865" t="str">
        <f>VLOOKUP(A865,Datos!$A$2:$H$1084,3,FALSE)</f>
        <v>0.01</v>
      </c>
      <c r="C865" t="str">
        <f>VLOOKUP(A865,Datos!$A$2:$H$1084,4,FALSE)</f>
        <v>0.00</v>
      </c>
      <c r="D865" t="str">
        <f>VLOOKUP(A865,Datos!$A$2:$H$1084,5,FALSE)</f>
        <v>0.00</v>
      </c>
      <c r="E865" t="str">
        <f>VLOOKUP(A865,Datos!$A$2:$H$1084,6,FALSE)</f>
        <v>0.04</v>
      </c>
      <c r="F865" t="str">
        <f>VLOOKUP(A865,Datos!$A$2:$H$1084,7,FALSE)</f>
        <v>0.00</v>
      </c>
      <c r="G865" t="str">
        <f>VLOOKUP(A865,Datos!$A$2:$H$1084,8,FALSE)</f>
        <v>0.00</v>
      </c>
    </row>
    <row r="866" spans="1:7" x14ac:dyDescent="0.3">
      <c r="A866" s="1">
        <v>72493</v>
      </c>
      <c r="B866" t="str">
        <f>VLOOKUP(A866,Datos!$A$2:$H$1084,3,FALSE)</f>
        <v>26.28</v>
      </c>
      <c r="C866" t="str">
        <f>VLOOKUP(A866,Datos!$A$2:$H$1084,4,FALSE)</f>
        <v>0.00</v>
      </c>
      <c r="D866" t="str">
        <f>VLOOKUP(A866,Datos!$A$2:$H$1084,5,FALSE)</f>
        <v>0.04</v>
      </c>
      <c r="E866" t="str">
        <f>VLOOKUP(A866,Datos!$A$2:$H$1084,6,FALSE)</f>
        <v>1.10</v>
      </c>
      <c r="F866" t="str">
        <f>VLOOKUP(A866,Datos!$A$2:$H$1084,7,FALSE)</f>
        <v>0.00</v>
      </c>
      <c r="G866" t="str">
        <f>VLOOKUP(A866,Datos!$A$2:$H$1084,8,FALSE)</f>
        <v>0.01</v>
      </c>
    </row>
    <row r="867" spans="1:7" x14ac:dyDescent="0.3">
      <c r="A867" s="1">
        <v>459282</v>
      </c>
      <c r="B867" t="str">
        <f>VLOOKUP(A867,Datos!$A$2:$H$1084,3,FALSE)</f>
        <v>82.09</v>
      </c>
      <c r="C867" t="str">
        <f>VLOOKUP(A867,Datos!$A$2:$H$1084,4,FALSE)</f>
        <v>0.00</v>
      </c>
      <c r="D867" t="str">
        <f>VLOOKUP(A867,Datos!$A$2:$H$1084,5,FALSE)</f>
        <v>0.98</v>
      </c>
      <c r="E867" t="str">
        <f>VLOOKUP(A867,Datos!$A$2:$H$1084,6,FALSE)</f>
        <v>16.78</v>
      </c>
      <c r="F867" t="str">
        <f>VLOOKUP(A867,Datos!$A$2:$H$1084,7,FALSE)</f>
        <v>0.00</v>
      </c>
      <c r="G867" t="str">
        <f>VLOOKUP(A867,Datos!$A$2:$H$1084,8,FALSE)</f>
        <v>0.10</v>
      </c>
    </row>
    <row r="868" spans="1:7" x14ac:dyDescent="0.3">
      <c r="A868" s="1">
        <v>158123</v>
      </c>
      <c r="B868" t="str">
        <f>VLOOKUP(A868,Datos!$A$2:$H$1084,3,FALSE)</f>
        <v>45.71</v>
      </c>
      <c r="C868" t="str">
        <f>VLOOKUP(A868,Datos!$A$2:$H$1084,4,FALSE)</f>
        <v>0.00</v>
      </c>
      <c r="D868" t="str">
        <f>VLOOKUP(A868,Datos!$A$2:$H$1084,5,FALSE)</f>
        <v>0.60</v>
      </c>
      <c r="E868" t="str">
        <f>VLOOKUP(A868,Datos!$A$2:$H$1084,6,FALSE)</f>
        <v>7.34</v>
      </c>
      <c r="F868" t="str">
        <f>VLOOKUP(A868,Datos!$A$2:$H$1084,7,FALSE)</f>
        <v>0.00</v>
      </c>
      <c r="G868" t="str">
        <f>VLOOKUP(A868,Datos!$A$2:$H$1084,8,FALSE)</f>
        <v>0.05</v>
      </c>
    </row>
    <row r="869" spans="1:7" x14ac:dyDescent="0.3">
      <c r="A869" s="1">
        <v>457589</v>
      </c>
      <c r="B869" t="str">
        <f>VLOOKUP(A869,Datos!$A$2:$H$1084,3,FALSE)</f>
        <v>48.21</v>
      </c>
      <c r="C869" t="str">
        <f>VLOOKUP(A869,Datos!$A$2:$H$1084,4,FALSE)</f>
        <v>0.00</v>
      </c>
      <c r="D869" t="str">
        <f>VLOOKUP(A869,Datos!$A$2:$H$1084,5,FALSE)</f>
        <v>0.82</v>
      </c>
      <c r="E869" t="str">
        <f>VLOOKUP(A869,Datos!$A$2:$H$1084,6,FALSE)</f>
        <v>12.27</v>
      </c>
      <c r="F869" t="str">
        <f>VLOOKUP(A869,Datos!$A$2:$H$1084,7,FALSE)</f>
        <v>0.00</v>
      </c>
      <c r="G869" t="str">
        <f>VLOOKUP(A869,Datos!$A$2:$H$1084,8,FALSE)</f>
        <v>0.15</v>
      </c>
    </row>
    <row r="870" spans="1:7" x14ac:dyDescent="0.3">
      <c r="A870" s="1">
        <v>61913</v>
      </c>
      <c r="B870" t="str">
        <f>VLOOKUP(A870,Datos!$A$2:$H$1084,3,FALSE)</f>
        <v>49.93</v>
      </c>
      <c r="C870" t="str">
        <f>VLOOKUP(A870,Datos!$A$2:$H$1084,4,FALSE)</f>
        <v>0.00</v>
      </c>
      <c r="D870" t="str">
        <f>VLOOKUP(A870,Datos!$A$2:$H$1084,5,FALSE)</f>
        <v>0.59</v>
      </c>
      <c r="E870" t="str">
        <f>VLOOKUP(A870,Datos!$A$2:$H$1084,6,FALSE)</f>
        <v>24.14</v>
      </c>
      <c r="F870" t="str">
        <f>VLOOKUP(A870,Datos!$A$2:$H$1084,7,FALSE)</f>
        <v>0.00</v>
      </c>
      <c r="G870" t="str">
        <f>VLOOKUP(A870,Datos!$A$2:$H$1084,8,FALSE)</f>
        <v>0.11</v>
      </c>
    </row>
    <row r="871" spans="1:7" x14ac:dyDescent="0.3">
      <c r="A871" s="1">
        <v>567390</v>
      </c>
      <c r="B871" t="str">
        <f>VLOOKUP(A871,Datos!$A$2:$H$1084,3,FALSE)</f>
        <v>75.73</v>
      </c>
      <c r="C871" t="str">
        <f>VLOOKUP(A871,Datos!$A$2:$H$1084,4,FALSE)</f>
        <v>0.00</v>
      </c>
      <c r="D871" t="str">
        <f>VLOOKUP(A871,Datos!$A$2:$H$1084,5,FALSE)</f>
        <v>0.40</v>
      </c>
      <c r="E871" t="str">
        <f>VLOOKUP(A871,Datos!$A$2:$H$1084,6,FALSE)</f>
        <v>9.84</v>
      </c>
      <c r="F871" t="str">
        <f>VLOOKUP(A871,Datos!$A$2:$H$1084,7,FALSE)</f>
        <v>0.01</v>
      </c>
      <c r="G871" t="str">
        <f>VLOOKUP(A871,Datos!$A$2:$H$1084,8,FALSE)</f>
        <v>0.05</v>
      </c>
    </row>
    <row r="872" spans="1:7" x14ac:dyDescent="0.3">
      <c r="A872" s="1">
        <v>79442</v>
      </c>
      <c r="B872" t="str">
        <f>VLOOKUP(A872,Datos!$A$2:$H$1084,3,FALSE)</f>
        <v>48.60</v>
      </c>
      <c r="C872" t="str">
        <f>VLOOKUP(A872,Datos!$A$2:$H$1084,4,FALSE)</f>
        <v>0.00</v>
      </c>
      <c r="D872" t="str">
        <f>VLOOKUP(A872,Datos!$A$2:$H$1084,5,FALSE)</f>
        <v>0.33</v>
      </c>
      <c r="E872" t="str">
        <f>VLOOKUP(A872,Datos!$A$2:$H$1084,6,FALSE)</f>
        <v>3.71</v>
      </c>
      <c r="F872" t="str">
        <f>VLOOKUP(A872,Datos!$A$2:$H$1084,7,FALSE)</f>
        <v>0.00</v>
      </c>
      <c r="G872" t="str">
        <f>VLOOKUP(A872,Datos!$A$2:$H$1084,8,FALSE)</f>
        <v>0.03</v>
      </c>
    </row>
    <row r="873" spans="1:7" x14ac:dyDescent="0.3">
      <c r="A873" s="1">
        <v>47540</v>
      </c>
      <c r="B873" t="str">
        <f>VLOOKUP(A873,Datos!$A$2:$H$1084,3,FALSE)</f>
        <v>16.29</v>
      </c>
      <c r="C873" t="str">
        <f>VLOOKUP(A873,Datos!$A$2:$H$1084,4,FALSE)</f>
        <v>0.00</v>
      </c>
      <c r="D873" t="str">
        <f>VLOOKUP(A873,Datos!$A$2:$H$1084,5,FALSE)</f>
        <v>0.03</v>
      </c>
      <c r="E873" t="str">
        <f>VLOOKUP(A873,Datos!$A$2:$H$1084,6,FALSE)</f>
        <v>5.87</v>
      </c>
      <c r="F873" t="str">
        <f>VLOOKUP(A873,Datos!$A$2:$H$1084,7,FALSE)</f>
        <v>0.00</v>
      </c>
      <c r="G873" t="str">
        <f>VLOOKUP(A873,Datos!$A$2:$H$1084,8,FALSE)</f>
        <v>0.01</v>
      </c>
    </row>
    <row r="874" spans="1:7" x14ac:dyDescent="0.3">
      <c r="A874" s="1">
        <v>65732</v>
      </c>
      <c r="B874" t="str">
        <f>VLOOKUP(A874,Datos!$A$2:$H$1084,3,FALSE)</f>
        <v>44.08</v>
      </c>
      <c r="C874" t="str">
        <f>VLOOKUP(A874,Datos!$A$2:$H$1084,4,FALSE)</f>
        <v>0.01</v>
      </c>
      <c r="D874" t="str">
        <f>VLOOKUP(A874,Datos!$A$2:$H$1084,5,FALSE)</f>
        <v>0.04</v>
      </c>
      <c r="E874" t="str">
        <f>VLOOKUP(A874,Datos!$A$2:$H$1084,6,FALSE)</f>
        <v>17.25</v>
      </c>
      <c r="F874" t="str">
        <f>VLOOKUP(A874,Datos!$A$2:$H$1084,7,FALSE)</f>
        <v>0.01</v>
      </c>
      <c r="G874" t="str">
        <f>VLOOKUP(A874,Datos!$A$2:$H$1084,8,FALSE)</f>
        <v>0.02</v>
      </c>
    </row>
    <row r="875" spans="1:7" x14ac:dyDescent="0.3">
      <c r="A875" s="1">
        <v>486431</v>
      </c>
      <c r="B875" t="str">
        <f>VLOOKUP(A875,Datos!$A$2:$H$1084,3,FALSE)</f>
        <v>9.30</v>
      </c>
      <c r="C875" t="str">
        <f>VLOOKUP(A875,Datos!$A$2:$H$1084,4,FALSE)</f>
        <v>0.00</v>
      </c>
      <c r="D875" t="str">
        <f>VLOOKUP(A875,Datos!$A$2:$H$1084,5,FALSE)</f>
        <v>0.01</v>
      </c>
      <c r="E875" t="str">
        <f>VLOOKUP(A875,Datos!$A$2:$H$1084,6,FALSE)</f>
        <v>3.29</v>
      </c>
      <c r="F875" t="str">
        <f>VLOOKUP(A875,Datos!$A$2:$H$1084,7,FALSE)</f>
        <v>0.00</v>
      </c>
      <c r="G875" t="str">
        <f>VLOOKUP(A875,Datos!$A$2:$H$1084,8,FALSE)</f>
        <v>0.01</v>
      </c>
    </row>
    <row r="876" spans="1:7" x14ac:dyDescent="0.3">
      <c r="A876" s="1">
        <v>117217</v>
      </c>
      <c r="B876" t="str">
        <f>VLOOKUP(A876,Datos!$A$2:$H$1084,3,FALSE)</f>
        <v>100.83</v>
      </c>
      <c r="C876" t="str">
        <f>VLOOKUP(A876,Datos!$A$2:$H$1084,4,FALSE)</f>
        <v>0.00</v>
      </c>
      <c r="D876" t="str">
        <f>VLOOKUP(A876,Datos!$A$2:$H$1084,5,FALSE)</f>
        <v>0.25</v>
      </c>
      <c r="E876" t="str">
        <f>VLOOKUP(A876,Datos!$A$2:$H$1084,6,FALSE)</f>
        <v>21.57</v>
      </c>
      <c r="F876" t="str">
        <f>VLOOKUP(A876,Datos!$A$2:$H$1084,7,FALSE)</f>
        <v>0.00</v>
      </c>
      <c r="G876" t="str">
        <f>VLOOKUP(A876,Datos!$A$2:$H$1084,8,FALSE)</f>
        <v>0.02</v>
      </c>
    </row>
    <row r="877" spans="1:7" x14ac:dyDescent="0.3">
      <c r="A877" s="1">
        <v>44546</v>
      </c>
      <c r="B877" t="str">
        <f>VLOOKUP(A877,Datos!$A$2:$H$1084,3,FALSE)</f>
        <v>48.97</v>
      </c>
      <c r="C877" t="str">
        <f>VLOOKUP(A877,Datos!$A$2:$H$1084,4,FALSE)</f>
        <v>0.00</v>
      </c>
      <c r="D877" t="str">
        <f>VLOOKUP(A877,Datos!$A$2:$H$1084,5,FALSE)</f>
        <v>0.39</v>
      </c>
      <c r="E877" t="str">
        <f>VLOOKUP(A877,Datos!$A$2:$H$1084,6,FALSE)</f>
        <v>22.27</v>
      </c>
      <c r="F877" t="str">
        <f>VLOOKUP(A877,Datos!$A$2:$H$1084,7,FALSE)</f>
        <v>0.00</v>
      </c>
      <c r="G877" t="str">
        <f>VLOOKUP(A877,Datos!$A$2:$H$1084,8,FALSE)</f>
        <v>0.06</v>
      </c>
    </row>
    <row r="878" spans="1:7" x14ac:dyDescent="0.3">
      <c r="A878" s="1">
        <v>468173</v>
      </c>
      <c r="B878" t="str">
        <f>VLOOKUP(A878,Datos!$A$2:$H$1084,3,FALSE)</f>
        <v>40.22</v>
      </c>
      <c r="C878" t="str">
        <f>VLOOKUP(A878,Datos!$A$2:$H$1084,4,FALSE)</f>
        <v>0.00</v>
      </c>
      <c r="D878" t="str">
        <f>VLOOKUP(A878,Datos!$A$2:$H$1084,5,FALSE)</f>
        <v>0.36</v>
      </c>
      <c r="E878" t="str">
        <f>VLOOKUP(A878,Datos!$A$2:$H$1084,6,FALSE)</f>
        <v>3.78</v>
      </c>
      <c r="F878" t="str">
        <f>VLOOKUP(A878,Datos!$A$2:$H$1084,7,FALSE)</f>
        <v>0.00</v>
      </c>
      <c r="G878" t="str">
        <f>VLOOKUP(A878,Datos!$A$2:$H$1084,8,FALSE)</f>
        <v>0.03</v>
      </c>
    </row>
    <row r="879" spans="1:7" x14ac:dyDescent="0.3">
      <c r="A879" s="1">
        <v>148054</v>
      </c>
      <c r="B879" t="str">
        <f>VLOOKUP(A879,Datos!$A$2:$H$1084,3,FALSE)</f>
        <v>20.39</v>
      </c>
      <c r="C879" t="str">
        <f>VLOOKUP(A879,Datos!$A$2:$H$1084,4,FALSE)</f>
        <v>0.00</v>
      </c>
      <c r="D879" t="str">
        <f>VLOOKUP(A879,Datos!$A$2:$H$1084,5,FALSE)</f>
        <v>0.03</v>
      </c>
      <c r="E879" t="str">
        <f>VLOOKUP(A879,Datos!$A$2:$H$1084,6,FALSE)</f>
        <v>7.15</v>
      </c>
      <c r="F879" t="str">
        <f>VLOOKUP(A879,Datos!$A$2:$H$1084,7,FALSE)</f>
        <v>0.00</v>
      </c>
      <c r="G879" t="str">
        <f>VLOOKUP(A879,Datos!$A$2:$H$1084,8,FALSE)</f>
        <v>0.01</v>
      </c>
    </row>
    <row r="880" spans="1:7" x14ac:dyDescent="0.3">
      <c r="A880" s="1">
        <v>59806</v>
      </c>
      <c r="B880" t="str">
        <f>VLOOKUP(A880,Datos!$A$2:$H$1084,3,FALSE)</f>
        <v>61.17</v>
      </c>
      <c r="C880" t="str">
        <f>VLOOKUP(A880,Datos!$A$2:$H$1084,4,FALSE)</f>
        <v>0.00</v>
      </c>
      <c r="D880" t="str">
        <f>VLOOKUP(A880,Datos!$A$2:$H$1084,5,FALSE)</f>
        <v>0.05</v>
      </c>
      <c r="E880" t="str">
        <f>VLOOKUP(A880,Datos!$A$2:$H$1084,6,FALSE)</f>
        <v>3.19</v>
      </c>
      <c r="F880" t="str">
        <f>VLOOKUP(A880,Datos!$A$2:$H$1084,7,FALSE)</f>
        <v>0.00</v>
      </c>
      <c r="G880" t="str">
        <f>VLOOKUP(A880,Datos!$A$2:$H$1084,8,FALSE)</f>
        <v>0.01</v>
      </c>
    </row>
    <row r="881" spans="1:7" x14ac:dyDescent="0.3">
      <c r="A881" s="1">
        <v>55436</v>
      </c>
      <c r="B881" t="str">
        <f>VLOOKUP(A881,Datos!$A$2:$H$1084,3,FALSE)</f>
        <v>25.09</v>
      </c>
      <c r="C881" t="str">
        <f>VLOOKUP(A881,Datos!$A$2:$H$1084,4,FALSE)</f>
        <v>0.00</v>
      </c>
      <c r="D881" t="str">
        <f>VLOOKUP(A881,Datos!$A$2:$H$1084,5,FALSE)</f>
        <v>0.20</v>
      </c>
      <c r="E881" t="str">
        <f>VLOOKUP(A881,Datos!$A$2:$H$1084,6,FALSE)</f>
        <v>5.18</v>
      </c>
      <c r="F881" t="str">
        <f>VLOOKUP(A881,Datos!$A$2:$H$1084,7,FALSE)</f>
        <v>0.00</v>
      </c>
      <c r="G881" t="str">
        <f>VLOOKUP(A881,Datos!$A$2:$H$1084,8,FALSE)</f>
        <v>0.02</v>
      </c>
    </row>
    <row r="882" spans="1:7" x14ac:dyDescent="0.3">
      <c r="A882" s="1">
        <v>443385</v>
      </c>
      <c r="B882" t="str">
        <f>VLOOKUP(A882,Datos!$A$2:$H$1084,3,FALSE)</f>
        <v>42.21</v>
      </c>
      <c r="C882" t="str">
        <f>VLOOKUP(A882,Datos!$A$2:$H$1084,4,FALSE)</f>
        <v>0.00</v>
      </c>
      <c r="D882" t="str">
        <f>VLOOKUP(A882,Datos!$A$2:$H$1084,5,FALSE)</f>
        <v>2.16</v>
      </c>
      <c r="E882" t="str">
        <f>VLOOKUP(A882,Datos!$A$2:$H$1084,6,FALSE)</f>
        <v>12.76</v>
      </c>
      <c r="F882" t="str">
        <f>VLOOKUP(A882,Datos!$A$2:$H$1084,7,FALSE)</f>
        <v>0.00</v>
      </c>
      <c r="G882" t="str">
        <f>VLOOKUP(A882,Datos!$A$2:$H$1084,8,FALSE)</f>
        <v>0.31</v>
      </c>
    </row>
    <row r="883" spans="1:7" x14ac:dyDescent="0.3">
      <c r="A883" s="1">
        <v>84354</v>
      </c>
      <c r="B883" t="str">
        <f>VLOOKUP(A883,Datos!$A$2:$H$1084,3,FALSE)</f>
        <v>42.87</v>
      </c>
      <c r="C883" t="str">
        <f>VLOOKUP(A883,Datos!$A$2:$H$1084,4,FALSE)</f>
        <v>0.00</v>
      </c>
      <c r="D883" t="str">
        <f>VLOOKUP(A883,Datos!$A$2:$H$1084,5,FALSE)</f>
        <v>0.08</v>
      </c>
      <c r="E883" t="str">
        <f>VLOOKUP(A883,Datos!$A$2:$H$1084,6,FALSE)</f>
        <v>3.73</v>
      </c>
      <c r="F883" t="str">
        <f>VLOOKUP(A883,Datos!$A$2:$H$1084,7,FALSE)</f>
        <v>0.00</v>
      </c>
      <c r="G883" t="str">
        <f>VLOOKUP(A883,Datos!$A$2:$H$1084,8,FALSE)</f>
        <v>0.01</v>
      </c>
    </row>
    <row r="884" spans="1:7" x14ac:dyDescent="0.3">
      <c r="A884" s="1">
        <v>169414</v>
      </c>
      <c r="B884" t="str">
        <f>VLOOKUP(A884,Datos!$A$2:$H$1084,3,FALSE)</f>
        <v>127.91</v>
      </c>
      <c r="C884" t="str">
        <f>VLOOKUP(A884,Datos!$A$2:$H$1084,4,FALSE)</f>
        <v>0.01</v>
      </c>
      <c r="D884" t="str">
        <f>VLOOKUP(A884,Datos!$A$2:$H$1084,5,FALSE)</f>
        <v>1.30</v>
      </c>
      <c r="E884" t="str">
        <f>VLOOKUP(A884,Datos!$A$2:$H$1084,6,FALSE)</f>
        <v>11.03</v>
      </c>
      <c r="F884" t="str">
        <f>VLOOKUP(A884,Datos!$A$2:$H$1084,7,FALSE)</f>
        <v>0.01</v>
      </c>
      <c r="G884" t="str">
        <f>VLOOKUP(A884,Datos!$A$2:$H$1084,8,FALSE)</f>
        <v>0.11</v>
      </c>
    </row>
    <row r="885" spans="1:7" x14ac:dyDescent="0.3">
      <c r="A885" s="1">
        <v>486577</v>
      </c>
      <c r="B885" t="str">
        <f>VLOOKUP(A885,Datos!$A$2:$H$1084,3,FALSE)</f>
        <v>31.87</v>
      </c>
      <c r="C885" t="str">
        <f>VLOOKUP(A885,Datos!$A$2:$H$1084,4,FALSE)</f>
        <v>0.00</v>
      </c>
      <c r="D885" t="str">
        <f>VLOOKUP(A885,Datos!$A$2:$H$1084,5,FALSE)</f>
        <v>0.03</v>
      </c>
      <c r="E885" t="str">
        <f>VLOOKUP(A885,Datos!$A$2:$H$1084,6,FALSE)</f>
        <v>1.10</v>
      </c>
      <c r="F885" t="str">
        <f>VLOOKUP(A885,Datos!$A$2:$H$1084,7,FALSE)</f>
        <v>0.00</v>
      </c>
      <c r="G885" t="str">
        <f>VLOOKUP(A885,Datos!$A$2:$H$1084,8,FALSE)</f>
        <v>0.01</v>
      </c>
    </row>
    <row r="886" spans="1:7" x14ac:dyDescent="0.3">
      <c r="A886" s="1">
        <v>397538</v>
      </c>
      <c r="B886" t="str">
        <f>VLOOKUP(A886,Datos!$A$2:$H$1084,3,FALSE)</f>
        <v>0</v>
      </c>
      <c r="C886" t="str">
        <f>VLOOKUP(A886,Datos!$A$2:$H$1084,4,FALSE)</f>
        <v>0</v>
      </c>
      <c r="D886" t="str">
        <f>VLOOKUP(A886,Datos!$A$2:$H$1084,5,FALSE)</f>
        <v>0</v>
      </c>
      <c r="E886" t="str">
        <f>VLOOKUP(A886,Datos!$A$2:$H$1084,6,FALSE)</f>
        <v>0</v>
      </c>
      <c r="F886" t="str">
        <f>VLOOKUP(A886,Datos!$A$2:$H$1084,7,FALSE)</f>
        <v>0</v>
      </c>
      <c r="G886" t="str">
        <f>VLOOKUP(A886,Datos!$A$2:$H$1084,8,FALSE)</f>
        <v>0</v>
      </c>
    </row>
    <row r="887" spans="1:7" x14ac:dyDescent="0.3">
      <c r="A887" s="1">
        <v>146253</v>
      </c>
      <c r="B887" t="str">
        <f>VLOOKUP(A887,Datos!$A$2:$H$1084,3,FALSE)</f>
        <v>72.66</v>
      </c>
      <c r="C887" t="str">
        <f>VLOOKUP(A887,Datos!$A$2:$H$1084,4,FALSE)</f>
        <v>0.01</v>
      </c>
      <c r="D887" t="str">
        <f>VLOOKUP(A887,Datos!$A$2:$H$1084,5,FALSE)</f>
        <v>0.67</v>
      </c>
      <c r="E887" t="str">
        <f>VLOOKUP(A887,Datos!$A$2:$H$1084,6,FALSE)</f>
        <v>3.22</v>
      </c>
      <c r="F887" t="str">
        <f>VLOOKUP(A887,Datos!$A$2:$H$1084,7,FALSE)</f>
        <v>0.01</v>
      </c>
      <c r="G887" t="str">
        <f>VLOOKUP(A887,Datos!$A$2:$H$1084,8,FALSE)</f>
        <v>0.06</v>
      </c>
    </row>
    <row r="888" spans="1:7" x14ac:dyDescent="0.3">
      <c r="A888" s="1">
        <v>76066</v>
      </c>
      <c r="B888" t="str">
        <f>VLOOKUP(A888,Datos!$A$2:$H$1084,3,FALSE)</f>
        <v>50.30</v>
      </c>
      <c r="C888" t="str">
        <f>VLOOKUP(A888,Datos!$A$2:$H$1084,4,FALSE)</f>
        <v>0.00</v>
      </c>
      <c r="D888" t="str">
        <f>VLOOKUP(A888,Datos!$A$2:$H$1084,5,FALSE)</f>
        <v>0.10</v>
      </c>
      <c r="E888" t="str">
        <f>VLOOKUP(A888,Datos!$A$2:$H$1084,6,FALSE)</f>
        <v>5.38</v>
      </c>
      <c r="F888" t="str">
        <f>VLOOKUP(A888,Datos!$A$2:$H$1084,7,FALSE)</f>
        <v>0.00</v>
      </c>
      <c r="G888" t="str">
        <f>VLOOKUP(A888,Datos!$A$2:$H$1084,8,FALSE)</f>
        <v>0.02</v>
      </c>
    </row>
    <row r="889" spans="1:7" x14ac:dyDescent="0.3">
      <c r="A889" s="1">
        <v>445695</v>
      </c>
      <c r="B889" t="str">
        <f>VLOOKUP(A889,Datos!$A$2:$H$1084,3,FALSE)</f>
        <v>139.23</v>
      </c>
      <c r="C889" t="str">
        <f>VLOOKUP(A889,Datos!$A$2:$H$1084,4,FALSE)</f>
        <v>0.00</v>
      </c>
      <c r="D889" t="str">
        <f>VLOOKUP(A889,Datos!$A$2:$H$1084,5,FALSE)</f>
        <v>1.11</v>
      </c>
      <c r="E889" t="str">
        <f>VLOOKUP(A889,Datos!$A$2:$H$1084,6,FALSE)</f>
        <v>28.99</v>
      </c>
      <c r="F889" t="str">
        <f>VLOOKUP(A889,Datos!$A$2:$H$1084,7,FALSE)</f>
        <v>0.00</v>
      </c>
      <c r="G889" t="str">
        <f>VLOOKUP(A889,Datos!$A$2:$H$1084,8,FALSE)</f>
        <v>0.04</v>
      </c>
    </row>
    <row r="890" spans="1:7" x14ac:dyDescent="0.3">
      <c r="A890" s="1">
        <v>84764</v>
      </c>
      <c r="B890" t="str">
        <f>VLOOKUP(A890,Datos!$A$2:$H$1084,3,FALSE)</f>
        <v>37.37</v>
      </c>
      <c r="C890" t="str">
        <f>VLOOKUP(A890,Datos!$A$2:$H$1084,4,FALSE)</f>
        <v>0.00</v>
      </c>
      <c r="D890" t="str">
        <f>VLOOKUP(A890,Datos!$A$2:$H$1084,5,FALSE)</f>
        <v>0.16</v>
      </c>
      <c r="E890" t="str">
        <f>VLOOKUP(A890,Datos!$A$2:$H$1084,6,FALSE)</f>
        <v>15.09</v>
      </c>
      <c r="F890" t="str">
        <f>VLOOKUP(A890,Datos!$A$2:$H$1084,7,FALSE)</f>
        <v>0.00</v>
      </c>
      <c r="G890" t="str">
        <f>VLOOKUP(A890,Datos!$A$2:$H$1084,8,FALSE)</f>
        <v>0.02</v>
      </c>
    </row>
    <row r="891" spans="1:7" x14ac:dyDescent="0.3">
      <c r="A891" s="1">
        <v>452172</v>
      </c>
      <c r="B891" t="str">
        <f>VLOOKUP(A891,Datos!$A$2:$H$1084,3,FALSE)</f>
        <v>36.93</v>
      </c>
      <c r="C891" t="str">
        <f>VLOOKUP(A891,Datos!$A$2:$H$1084,4,FALSE)</f>
        <v>0.00</v>
      </c>
      <c r="D891" t="str">
        <f>VLOOKUP(A891,Datos!$A$2:$H$1084,5,FALSE)</f>
        <v>0.05</v>
      </c>
      <c r="E891" t="str">
        <f>VLOOKUP(A891,Datos!$A$2:$H$1084,6,FALSE)</f>
        <v>81.81</v>
      </c>
      <c r="F891" t="str">
        <f>VLOOKUP(A891,Datos!$A$2:$H$1084,7,FALSE)</f>
        <v>0.00</v>
      </c>
      <c r="G891" t="str">
        <f>VLOOKUP(A891,Datos!$A$2:$H$1084,8,FALSE)</f>
        <v>0.02</v>
      </c>
    </row>
    <row r="892" spans="1:7" x14ac:dyDescent="0.3">
      <c r="A892" s="1">
        <v>59811</v>
      </c>
      <c r="B892" t="str">
        <f>VLOOKUP(A892,Datos!$A$2:$H$1084,3,FALSE)</f>
        <v>53.49</v>
      </c>
      <c r="C892" t="str">
        <f>VLOOKUP(A892,Datos!$A$2:$H$1084,4,FALSE)</f>
        <v>0.01</v>
      </c>
      <c r="D892" t="str">
        <f>VLOOKUP(A892,Datos!$A$2:$H$1084,5,FALSE)</f>
        <v>0.06</v>
      </c>
      <c r="E892" t="str">
        <f>VLOOKUP(A892,Datos!$A$2:$H$1084,6,FALSE)</f>
        <v>4.86</v>
      </c>
      <c r="F892" t="str">
        <f>VLOOKUP(A892,Datos!$A$2:$H$1084,7,FALSE)</f>
        <v>0.01</v>
      </c>
      <c r="G892" t="str">
        <f>VLOOKUP(A892,Datos!$A$2:$H$1084,8,FALSE)</f>
        <v>0.02</v>
      </c>
    </row>
    <row r="893" spans="1:7" x14ac:dyDescent="0.3">
      <c r="A893" s="1">
        <v>70960</v>
      </c>
      <c r="B893" t="str">
        <f>VLOOKUP(A893,Datos!$A$2:$H$1084,3,FALSE)</f>
        <v>78.36</v>
      </c>
      <c r="C893" t="str">
        <f>VLOOKUP(A893,Datos!$A$2:$H$1084,4,FALSE)</f>
        <v>0.01</v>
      </c>
      <c r="D893" t="str">
        <f>VLOOKUP(A893,Datos!$A$2:$H$1084,5,FALSE)</f>
        <v>0.99</v>
      </c>
      <c r="E893" t="str">
        <f>VLOOKUP(A893,Datos!$A$2:$H$1084,6,FALSE)</f>
        <v>16.21</v>
      </c>
      <c r="F893" t="str">
        <f>VLOOKUP(A893,Datos!$A$2:$H$1084,7,FALSE)</f>
        <v>0.01</v>
      </c>
      <c r="G893" t="str">
        <f>VLOOKUP(A893,Datos!$A$2:$H$1084,8,FALSE)</f>
        <v>0.09</v>
      </c>
    </row>
    <row r="894" spans="1:7" x14ac:dyDescent="0.3">
      <c r="A894" s="1">
        <v>488086</v>
      </c>
      <c r="B894" t="str">
        <f>VLOOKUP(A894,Datos!$A$2:$H$1084,3,FALSE)</f>
        <v>43.23</v>
      </c>
      <c r="C894" t="str">
        <f>VLOOKUP(A894,Datos!$A$2:$H$1084,4,FALSE)</f>
        <v>0.00</v>
      </c>
      <c r="D894" t="str">
        <f>VLOOKUP(A894,Datos!$A$2:$H$1084,5,FALSE)</f>
        <v>0.19</v>
      </c>
      <c r="E894" t="str">
        <f>VLOOKUP(A894,Datos!$A$2:$H$1084,6,FALSE)</f>
        <v>11.61</v>
      </c>
      <c r="F894" t="str">
        <f>VLOOKUP(A894,Datos!$A$2:$H$1084,7,FALSE)</f>
        <v>0.00</v>
      </c>
      <c r="G894" t="str">
        <f>VLOOKUP(A894,Datos!$A$2:$H$1084,8,FALSE)</f>
        <v>0.02</v>
      </c>
    </row>
    <row r="895" spans="1:7" x14ac:dyDescent="0.3">
      <c r="A895" s="1">
        <v>443516</v>
      </c>
      <c r="B895" t="str">
        <f>VLOOKUP(A895,Datos!$A$2:$H$1084,3,FALSE)</f>
        <v>21.32</v>
      </c>
      <c r="C895" t="str">
        <f>VLOOKUP(A895,Datos!$A$2:$H$1084,4,FALSE)</f>
        <v>0.00</v>
      </c>
      <c r="D895" t="str">
        <f>VLOOKUP(A895,Datos!$A$2:$H$1084,5,FALSE)</f>
        <v>0.04</v>
      </c>
      <c r="E895" t="str">
        <f>VLOOKUP(A895,Datos!$A$2:$H$1084,6,FALSE)</f>
        <v>2.72</v>
      </c>
      <c r="F895" t="str">
        <f>VLOOKUP(A895,Datos!$A$2:$H$1084,7,FALSE)</f>
        <v>0.00</v>
      </c>
      <c r="G895" t="str">
        <f>VLOOKUP(A895,Datos!$A$2:$H$1084,8,FALSE)</f>
        <v>0.01</v>
      </c>
    </row>
    <row r="896" spans="1:7" x14ac:dyDescent="0.3">
      <c r="A896" s="1">
        <v>463811</v>
      </c>
      <c r="B896" t="str">
        <f>VLOOKUP(A896,Datos!$A$2:$H$1084,3,FALSE)</f>
        <v>18.90</v>
      </c>
      <c r="C896" t="str">
        <f>VLOOKUP(A896,Datos!$A$2:$H$1084,4,FALSE)</f>
        <v>0.00</v>
      </c>
      <c r="D896" t="str">
        <f>VLOOKUP(A896,Datos!$A$2:$H$1084,5,FALSE)</f>
        <v>0.01</v>
      </c>
      <c r="E896" t="str">
        <f>VLOOKUP(A896,Datos!$A$2:$H$1084,6,FALSE)</f>
        <v>0.55</v>
      </c>
      <c r="F896" t="str">
        <f>VLOOKUP(A896,Datos!$A$2:$H$1084,7,FALSE)</f>
        <v>0.00</v>
      </c>
      <c r="G896" t="str">
        <f>VLOOKUP(A896,Datos!$A$2:$H$1084,8,FALSE)</f>
        <v>0.00</v>
      </c>
    </row>
    <row r="897" spans="1:7" x14ac:dyDescent="0.3">
      <c r="A897" s="1">
        <v>462618</v>
      </c>
      <c r="B897" t="str">
        <f>VLOOKUP(A897,Datos!$A$2:$H$1084,3,FALSE)</f>
        <v>45.89</v>
      </c>
      <c r="C897" t="str">
        <f>VLOOKUP(A897,Datos!$A$2:$H$1084,4,FALSE)</f>
        <v>0.00</v>
      </c>
      <c r="D897" t="str">
        <f>VLOOKUP(A897,Datos!$A$2:$H$1084,5,FALSE)</f>
        <v>0.79</v>
      </c>
      <c r="E897" t="str">
        <f>VLOOKUP(A897,Datos!$A$2:$H$1084,6,FALSE)</f>
        <v>11.50</v>
      </c>
      <c r="F897" t="str">
        <f>VLOOKUP(A897,Datos!$A$2:$H$1084,7,FALSE)</f>
        <v>0.00</v>
      </c>
      <c r="G897" t="str">
        <f>VLOOKUP(A897,Datos!$A$2:$H$1084,8,FALSE)</f>
        <v>0.17</v>
      </c>
    </row>
    <row r="898" spans="1:7" x14ac:dyDescent="0.3">
      <c r="A898" s="1">
        <v>151843</v>
      </c>
      <c r="B898" t="str">
        <f>VLOOKUP(A898,Datos!$A$2:$H$1084,3,FALSE)</f>
        <v>59.67</v>
      </c>
      <c r="C898" t="str">
        <f>VLOOKUP(A898,Datos!$A$2:$H$1084,4,FALSE)</f>
        <v>0.01</v>
      </c>
      <c r="D898" t="str">
        <f>VLOOKUP(A898,Datos!$A$2:$H$1084,5,FALSE)</f>
        <v>0.18</v>
      </c>
      <c r="E898" t="str">
        <f>VLOOKUP(A898,Datos!$A$2:$H$1084,6,FALSE)</f>
        <v>4.97</v>
      </c>
      <c r="F898" t="str">
        <f>VLOOKUP(A898,Datos!$A$2:$H$1084,7,FALSE)</f>
        <v>0.01</v>
      </c>
      <c r="G898" t="str">
        <f>VLOOKUP(A898,Datos!$A$2:$H$1084,8,FALSE)</f>
        <v>0.02</v>
      </c>
    </row>
    <row r="899" spans="1:7" x14ac:dyDescent="0.3">
      <c r="A899" s="1">
        <v>55573</v>
      </c>
      <c r="B899" t="str">
        <f>VLOOKUP(A899,Datos!$A$2:$H$1084,3,FALSE)</f>
        <v>21.23</v>
      </c>
      <c r="C899" t="str">
        <f>VLOOKUP(A899,Datos!$A$2:$H$1084,4,FALSE)</f>
        <v>0.00</v>
      </c>
      <c r="D899" t="str">
        <f>VLOOKUP(A899,Datos!$A$2:$H$1084,5,FALSE)</f>
        <v>0.01</v>
      </c>
      <c r="E899" t="str">
        <f>VLOOKUP(A899,Datos!$A$2:$H$1084,6,FALSE)</f>
        <v>0.95</v>
      </c>
      <c r="F899" t="str">
        <f>VLOOKUP(A899,Datos!$A$2:$H$1084,7,FALSE)</f>
        <v>0.00</v>
      </c>
      <c r="G899" t="str">
        <f>VLOOKUP(A899,Datos!$A$2:$H$1084,8,FALSE)</f>
        <v>0.00</v>
      </c>
    </row>
    <row r="900" spans="1:7" x14ac:dyDescent="0.3">
      <c r="A900" s="1">
        <v>457829</v>
      </c>
      <c r="B900" t="str">
        <f>VLOOKUP(A900,Datos!$A$2:$H$1084,3,FALSE)</f>
        <v>19.18</v>
      </c>
      <c r="C900" t="str">
        <f>VLOOKUP(A900,Datos!$A$2:$H$1084,4,FALSE)</f>
        <v>0.00</v>
      </c>
      <c r="D900" t="str">
        <f>VLOOKUP(A900,Datos!$A$2:$H$1084,5,FALSE)</f>
        <v>0.02</v>
      </c>
      <c r="E900" t="str">
        <f>VLOOKUP(A900,Datos!$A$2:$H$1084,6,FALSE)</f>
        <v>2.69</v>
      </c>
      <c r="F900" t="str">
        <f>VLOOKUP(A900,Datos!$A$2:$H$1084,7,FALSE)</f>
        <v>0.00</v>
      </c>
      <c r="G900" t="str">
        <f>VLOOKUP(A900,Datos!$A$2:$H$1084,8,FALSE)</f>
        <v>0.01</v>
      </c>
    </row>
    <row r="901" spans="1:7" x14ac:dyDescent="0.3">
      <c r="A901" s="1">
        <v>462294</v>
      </c>
      <c r="B901" t="str">
        <f>VLOOKUP(A901,Datos!$A$2:$H$1084,3,FALSE)</f>
        <v>55.39</v>
      </c>
      <c r="C901" t="str">
        <f>VLOOKUP(A901,Datos!$A$2:$H$1084,4,FALSE)</f>
        <v>0.01</v>
      </c>
      <c r="D901" t="str">
        <f>VLOOKUP(A901,Datos!$A$2:$H$1084,5,FALSE)</f>
        <v>0.20</v>
      </c>
      <c r="E901" t="str">
        <f>VLOOKUP(A901,Datos!$A$2:$H$1084,6,FALSE)</f>
        <v>20.04</v>
      </c>
      <c r="F901" t="str">
        <f>VLOOKUP(A901,Datos!$A$2:$H$1084,7,FALSE)</f>
        <v>0.01</v>
      </c>
      <c r="G901" t="str">
        <f>VLOOKUP(A901,Datos!$A$2:$H$1084,8,FALSE)</f>
        <v>0.03</v>
      </c>
    </row>
    <row r="902" spans="1:7" x14ac:dyDescent="0.3">
      <c r="A902" s="1">
        <v>571245</v>
      </c>
      <c r="B902" t="str">
        <f>VLOOKUP(A902,Datos!$A$2:$H$1084,3,FALSE)</f>
        <v>68.61</v>
      </c>
      <c r="C902" t="str">
        <f>VLOOKUP(A902,Datos!$A$2:$H$1084,4,FALSE)</f>
        <v>0.00</v>
      </c>
      <c r="D902" t="str">
        <f>VLOOKUP(A902,Datos!$A$2:$H$1084,5,FALSE)</f>
        <v>0.33</v>
      </c>
      <c r="E902" t="str">
        <f>VLOOKUP(A902,Datos!$A$2:$H$1084,6,FALSE)</f>
        <v>6.10</v>
      </c>
      <c r="F902" t="str">
        <f>VLOOKUP(A902,Datos!$A$2:$H$1084,7,FALSE)</f>
        <v>0.00</v>
      </c>
      <c r="G902" t="str">
        <f>VLOOKUP(A902,Datos!$A$2:$H$1084,8,FALSE)</f>
        <v>0.02</v>
      </c>
    </row>
    <row r="903" spans="1:7" x14ac:dyDescent="0.3">
      <c r="A903" s="1">
        <v>859077</v>
      </c>
      <c r="B903" t="str">
        <f>VLOOKUP(A903,Datos!$A$2:$H$1084,3,FALSE)</f>
        <v>29.39</v>
      </c>
      <c r="C903" t="str">
        <f>VLOOKUP(A903,Datos!$A$2:$H$1084,4,FALSE)</f>
        <v>0.00</v>
      </c>
      <c r="D903" t="str">
        <f>VLOOKUP(A903,Datos!$A$2:$H$1084,5,FALSE)</f>
        <v>0.38</v>
      </c>
      <c r="E903" t="str">
        <f>VLOOKUP(A903,Datos!$A$2:$H$1084,6,FALSE)</f>
        <v>12.42</v>
      </c>
      <c r="F903" t="str">
        <f>VLOOKUP(A903,Datos!$A$2:$H$1084,7,FALSE)</f>
        <v>0.00</v>
      </c>
      <c r="G903" t="str">
        <f>VLOOKUP(A903,Datos!$A$2:$H$1084,8,FALSE)</f>
        <v>0.04</v>
      </c>
    </row>
    <row r="904" spans="1:7" x14ac:dyDescent="0.3">
      <c r="A904" s="1">
        <v>167976</v>
      </c>
      <c r="B904" t="str">
        <f>VLOOKUP(A904,Datos!$A$2:$H$1084,3,FALSE)</f>
        <v>116.58</v>
      </c>
      <c r="C904" t="str">
        <f>VLOOKUP(A904,Datos!$A$2:$H$1084,4,FALSE)</f>
        <v>0.00</v>
      </c>
      <c r="D904" t="str">
        <f>VLOOKUP(A904,Datos!$A$2:$H$1084,5,FALSE)</f>
        <v>1.07</v>
      </c>
      <c r="E904" t="str">
        <f>VLOOKUP(A904,Datos!$A$2:$H$1084,6,FALSE)</f>
        <v>12.70</v>
      </c>
      <c r="F904" t="str">
        <f>VLOOKUP(A904,Datos!$A$2:$H$1084,7,FALSE)</f>
        <v>0.00</v>
      </c>
      <c r="G904" t="str">
        <f>VLOOKUP(A904,Datos!$A$2:$H$1084,8,FALSE)</f>
        <v>0.08</v>
      </c>
    </row>
    <row r="905" spans="1:7" x14ac:dyDescent="0.3">
      <c r="A905" s="1">
        <v>541994</v>
      </c>
      <c r="B905" t="str">
        <f>VLOOKUP(A905,Datos!$A$2:$H$1084,3,FALSE)</f>
        <v>52.18</v>
      </c>
      <c r="C905" t="str">
        <f>VLOOKUP(A905,Datos!$A$2:$H$1084,4,FALSE)</f>
        <v>0.00</v>
      </c>
      <c r="D905" t="str">
        <f>VLOOKUP(A905,Datos!$A$2:$H$1084,5,FALSE)</f>
        <v>0.84</v>
      </c>
      <c r="E905" t="str">
        <f>VLOOKUP(A905,Datos!$A$2:$H$1084,6,FALSE)</f>
        <v>36.64</v>
      </c>
      <c r="F905" t="str">
        <f>VLOOKUP(A905,Datos!$A$2:$H$1084,7,FALSE)</f>
        <v>0.00</v>
      </c>
      <c r="G905" t="str">
        <f>VLOOKUP(A905,Datos!$A$2:$H$1084,8,FALSE)</f>
        <v>0.25</v>
      </c>
    </row>
    <row r="906" spans="1:7" x14ac:dyDescent="0.3">
      <c r="A906" s="1">
        <v>71554</v>
      </c>
      <c r="B906" t="str">
        <f>VLOOKUP(A906,Datos!$A$2:$H$1084,3,FALSE)</f>
        <v>83.67</v>
      </c>
      <c r="C906" t="str">
        <f>VLOOKUP(A906,Datos!$A$2:$H$1084,4,FALSE)</f>
        <v>0.00</v>
      </c>
      <c r="D906" t="str">
        <f>VLOOKUP(A906,Datos!$A$2:$H$1084,5,FALSE)</f>
        <v>0.30</v>
      </c>
      <c r="E906" t="str">
        <f>VLOOKUP(A906,Datos!$A$2:$H$1084,6,FALSE)</f>
        <v>4.74</v>
      </c>
      <c r="F906" t="str">
        <f>VLOOKUP(A906,Datos!$A$2:$H$1084,7,FALSE)</f>
        <v>0.00</v>
      </c>
      <c r="G906" t="str">
        <f>VLOOKUP(A906,Datos!$A$2:$H$1084,8,FALSE)</f>
        <v>0.03</v>
      </c>
    </row>
    <row r="907" spans="1:7" x14ac:dyDescent="0.3">
      <c r="A907" s="1">
        <v>467772</v>
      </c>
      <c r="B907" t="str">
        <f>VLOOKUP(A907,Datos!$A$2:$H$1084,3,FALSE)</f>
        <v>50.65</v>
      </c>
      <c r="C907" t="str">
        <f>VLOOKUP(A907,Datos!$A$2:$H$1084,4,FALSE)</f>
        <v>0.00</v>
      </c>
      <c r="D907" t="str">
        <f>VLOOKUP(A907,Datos!$A$2:$H$1084,5,FALSE)</f>
        <v>0.19</v>
      </c>
      <c r="E907" t="str">
        <f>VLOOKUP(A907,Datos!$A$2:$H$1084,6,FALSE)</f>
        <v>3.18</v>
      </c>
      <c r="F907" t="str">
        <f>VLOOKUP(A907,Datos!$A$2:$H$1084,7,FALSE)</f>
        <v>0.00</v>
      </c>
      <c r="G907" t="str">
        <f>VLOOKUP(A907,Datos!$A$2:$H$1084,8,FALSE)</f>
        <v>0.02</v>
      </c>
    </row>
    <row r="908" spans="1:7" x14ac:dyDescent="0.3">
      <c r="A908" s="1">
        <v>60414</v>
      </c>
      <c r="B908" t="str">
        <f>VLOOKUP(A908,Datos!$A$2:$H$1084,3,FALSE)</f>
        <v>25.54</v>
      </c>
      <c r="C908" t="str">
        <f>VLOOKUP(A908,Datos!$A$2:$H$1084,4,FALSE)</f>
        <v>0.01</v>
      </c>
      <c r="D908" t="str">
        <f>VLOOKUP(A908,Datos!$A$2:$H$1084,5,FALSE)</f>
        <v>0.10</v>
      </c>
      <c r="E908" t="str">
        <f>VLOOKUP(A908,Datos!$A$2:$H$1084,6,FALSE)</f>
        <v>1.19</v>
      </c>
      <c r="F908" t="str">
        <f>VLOOKUP(A908,Datos!$A$2:$H$1084,7,FALSE)</f>
        <v>0.01</v>
      </c>
      <c r="G908" t="str">
        <f>VLOOKUP(A908,Datos!$A$2:$H$1084,8,FALSE)</f>
        <v>0.01</v>
      </c>
    </row>
    <row r="909" spans="1:7" x14ac:dyDescent="0.3">
      <c r="A909" s="1">
        <v>87507</v>
      </c>
      <c r="B909" t="str">
        <f>VLOOKUP(A909,Datos!$A$2:$H$1084,3,FALSE)</f>
        <v>54.87</v>
      </c>
      <c r="C909" t="str">
        <f>VLOOKUP(A909,Datos!$A$2:$H$1084,4,FALSE)</f>
        <v>0.00</v>
      </c>
      <c r="D909" t="str">
        <f>VLOOKUP(A909,Datos!$A$2:$H$1084,5,FALSE)</f>
        <v>0.41</v>
      </c>
      <c r="E909" t="str">
        <f>VLOOKUP(A909,Datos!$A$2:$H$1084,6,FALSE)</f>
        <v>2.20</v>
      </c>
      <c r="F909" t="str">
        <f>VLOOKUP(A909,Datos!$A$2:$H$1084,7,FALSE)</f>
        <v>0.00</v>
      </c>
      <c r="G909" t="str">
        <f>VLOOKUP(A909,Datos!$A$2:$H$1084,8,FALSE)</f>
        <v>0.05</v>
      </c>
    </row>
    <row r="910" spans="1:7" x14ac:dyDescent="0.3">
      <c r="A910" s="1">
        <v>441452</v>
      </c>
      <c r="B910" t="str">
        <f>VLOOKUP(A910,Datos!$A$2:$H$1084,3,FALSE)</f>
        <v>49.07</v>
      </c>
      <c r="C910" t="str">
        <f>VLOOKUP(A910,Datos!$A$2:$H$1084,4,FALSE)</f>
        <v>0.01</v>
      </c>
      <c r="D910" t="str">
        <f>VLOOKUP(A910,Datos!$A$2:$H$1084,5,FALSE)</f>
        <v>0.55</v>
      </c>
      <c r="E910" t="str">
        <f>VLOOKUP(A910,Datos!$A$2:$H$1084,6,FALSE)</f>
        <v>11.16</v>
      </c>
      <c r="F910" t="str">
        <f>VLOOKUP(A910,Datos!$A$2:$H$1084,7,FALSE)</f>
        <v>0.01</v>
      </c>
      <c r="G910" t="str">
        <f>VLOOKUP(A910,Datos!$A$2:$H$1084,8,FALSE)</f>
        <v>0.06</v>
      </c>
    </row>
    <row r="911" spans="1:7" x14ac:dyDescent="0.3">
      <c r="A911" s="1">
        <v>463439</v>
      </c>
      <c r="B911" t="str">
        <f>VLOOKUP(A911,Datos!$A$2:$H$1084,3,FALSE)</f>
        <v>83.57</v>
      </c>
      <c r="C911" t="str">
        <f>VLOOKUP(A911,Datos!$A$2:$H$1084,4,FALSE)</f>
        <v>0.00</v>
      </c>
      <c r="D911" t="str">
        <f>VLOOKUP(A911,Datos!$A$2:$H$1084,5,FALSE)</f>
        <v>0.26</v>
      </c>
      <c r="E911" t="str">
        <f>VLOOKUP(A911,Datos!$A$2:$H$1084,6,FALSE)</f>
        <v>7.55</v>
      </c>
      <c r="F911" t="str">
        <f>VLOOKUP(A911,Datos!$A$2:$H$1084,7,FALSE)</f>
        <v>0.00</v>
      </c>
      <c r="G911" t="str">
        <f>VLOOKUP(A911,Datos!$A$2:$H$1084,8,FALSE)</f>
        <v>0.03</v>
      </c>
    </row>
    <row r="912" spans="1:7" x14ac:dyDescent="0.3">
      <c r="A912" s="1">
        <v>65666</v>
      </c>
      <c r="B912" t="str">
        <f>VLOOKUP(A912,Datos!$A$2:$H$1084,3,FALSE)</f>
        <v>18.39</v>
      </c>
      <c r="C912" t="str">
        <f>VLOOKUP(A912,Datos!$A$2:$H$1084,4,FALSE)</f>
        <v>0.01</v>
      </c>
      <c r="D912" t="str">
        <f>VLOOKUP(A912,Datos!$A$2:$H$1084,5,FALSE)</f>
        <v>0.03</v>
      </c>
      <c r="E912" t="str">
        <f>VLOOKUP(A912,Datos!$A$2:$H$1084,6,FALSE)</f>
        <v>3.30</v>
      </c>
      <c r="F912" t="str">
        <f>VLOOKUP(A912,Datos!$A$2:$H$1084,7,FALSE)</f>
        <v>0.01</v>
      </c>
      <c r="G912" t="str">
        <f>VLOOKUP(A912,Datos!$A$2:$H$1084,8,FALSE)</f>
        <v>0.01</v>
      </c>
    </row>
    <row r="913" spans="1:7" x14ac:dyDescent="0.3">
      <c r="A913" s="1">
        <v>64233</v>
      </c>
      <c r="B913" t="str">
        <f>VLOOKUP(A913,Datos!$A$2:$H$1084,3,FALSE)</f>
        <v>37.84</v>
      </c>
      <c r="C913" t="str">
        <f>VLOOKUP(A913,Datos!$A$2:$H$1084,4,FALSE)</f>
        <v>0.00</v>
      </c>
      <c r="D913" t="str">
        <f>VLOOKUP(A913,Datos!$A$2:$H$1084,5,FALSE)</f>
        <v>0.44</v>
      </c>
      <c r="E913" t="str">
        <f>VLOOKUP(A913,Datos!$A$2:$H$1084,6,FALSE)</f>
        <v>16.42</v>
      </c>
      <c r="F913" t="str">
        <f>VLOOKUP(A913,Datos!$A$2:$H$1084,7,FALSE)</f>
        <v>0.00</v>
      </c>
      <c r="G913" t="str">
        <f>VLOOKUP(A913,Datos!$A$2:$H$1084,8,FALSE)</f>
        <v>0.08</v>
      </c>
    </row>
    <row r="914" spans="1:7" x14ac:dyDescent="0.3">
      <c r="A914" s="1">
        <v>62880</v>
      </c>
      <c r="B914" t="str">
        <f>VLOOKUP(A914,Datos!$A$2:$H$1084,3,FALSE)</f>
        <v>65.29</v>
      </c>
      <c r="C914" t="str">
        <f>VLOOKUP(A914,Datos!$A$2:$H$1084,4,FALSE)</f>
        <v>0.00</v>
      </c>
      <c r="D914" t="str">
        <f>VLOOKUP(A914,Datos!$A$2:$H$1084,5,FALSE)</f>
        <v>0.08</v>
      </c>
      <c r="E914" t="str">
        <f>VLOOKUP(A914,Datos!$A$2:$H$1084,6,FALSE)</f>
        <v>4.94</v>
      </c>
      <c r="F914" t="str">
        <f>VLOOKUP(A914,Datos!$A$2:$H$1084,7,FALSE)</f>
        <v>0.00</v>
      </c>
      <c r="G914" t="str">
        <f>VLOOKUP(A914,Datos!$A$2:$H$1084,8,FALSE)</f>
        <v>0.01</v>
      </c>
    </row>
    <row r="915" spans="1:7" x14ac:dyDescent="0.3">
      <c r="A915" s="1">
        <v>463854</v>
      </c>
      <c r="B915" t="str">
        <f>VLOOKUP(A915,Datos!$A$2:$H$1084,3,FALSE)</f>
        <v>50.82</v>
      </c>
      <c r="C915" t="str">
        <f>VLOOKUP(A915,Datos!$A$2:$H$1084,4,FALSE)</f>
        <v>0.00</v>
      </c>
      <c r="D915" t="str">
        <f>VLOOKUP(A915,Datos!$A$2:$H$1084,5,FALSE)</f>
        <v>0.26</v>
      </c>
      <c r="E915" t="str">
        <f>VLOOKUP(A915,Datos!$A$2:$H$1084,6,FALSE)</f>
        <v>16.83</v>
      </c>
      <c r="F915" t="str">
        <f>VLOOKUP(A915,Datos!$A$2:$H$1084,7,FALSE)</f>
        <v>0.00</v>
      </c>
      <c r="G915" t="str">
        <f>VLOOKUP(A915,Datos!$A$2:$H$1084,8,FALSE)</f>
        <v>0.03</v>
      </c>
    </row>
    <row r="916" spans="1:7" x14ac:dyDescent="0.3">
      <c r="A916" s="1">
        <v>520147</v>
      </c>
      <c r="B916" t="str">
        <f>VLOOKUP(A916,Datos!$A$2:$H$1084,3,FALSE)</f>
        <v>91.09</v>
      </c>
      <c r="C916" t="str">
        <f>VLOOKUP(A916,Datos!$A$2:$H$1084,4,FALSE)</f>
        <v>0.01</v>
      </c>
      <c r="D916" t="str">
        <f>VLOOKUP(A916,Datos!$A$2:$H$1084,5,FALSE)</f>
        <v>0.89</v>
      </c>
      <c r="E916" t="str">
        <f>VLOOKUP(A916,Datos!$A$2:$H$1084,6,FALSE)</f>
        <v>19.51</v>
      </c>
      <c r="F916" t="str">
        <f>VLOOKUP(A916,Datos!$A$2:$H$1084,7,FALSE)</f>
        <v>0.01</v>
      </c>
      <c r="G916" t="str">
        <f>VLOOKUP(A916,Datos!$A$2:$H$1084,8,FALSE)</f>
        <v>0.11</v>
      </c>
    </row>
    <row r="917" spans="1:7" x14ac:dyDescent="0.3">
      <c r="A917" s="1">
        <v>562217</v>
      </c>
      <c r="B917" t="str">
        <f>VLOOKUP(A917,Datos!$A$2:$H$1084,3,FALSE)</f>
        <v>68.65</v>
      </c>
      <c r="C917" t="str">
        <f>VLOOKUP(A917,Datos!$A$2:$H$1084,4,FALSE)</f>
        <v>0.01</v>
      </c>
      <c r="D917" t="str">
        <f>VLOOKUP(A917,Datos!$A$2:$H$1084,5,FALSE)</f>
        <v>1.13</v>
      </c>
      <c r="E917" t="str">
        <f>VLOOKUP(A917,Datos!$A$2:$H$1084,6,FALSE)</f>
        <v>7.69</v>
      </c>
      <c r="F917" t="str">
        <f>VLOOKUP(A917,Datos!$A$2:$H$1084,7,FALSE)</f>
        <v>0.01</v>
      </c>
      <c r="G917" t="str">
        <f>VLOOKUP(A917,Datos!$A$2:$H$1084,8,FALSE)</f>
        <v>0.11</v>
      </c>
    </row>
    <row r="918" spans="1:7" x14ac:dyDescent="0.3">
      <c r="A918" s="1">
        <v>52447</v>
      </c>
      <c r="B918" t="str">
        <f>VLOOKUP(A918,Datos!$A$2:$H$1084,3,FALSE)</f>
        <v>32.12</v>
      </c>
      <c r="C918" t="str">
        <f>VLOOKUP(A918,Datos!$A$2:$H$1084,4,FALSE)</f>
        <v>0.00</v>
      </c>
      <c r="D918" t="str">
        <f>VLOOKUP(A918,Datos!$A$2:$H$1084,5,FALSE)</f>
        <v>0.07</v>
      </c>
      <c r="E918" t="str">
        <f>VLOOKUP(A918,Datos!$A$2:$H$1084,6,FALSE)</f>
        <v>22.40</v>
      </c>
      <c r="F918" t="str">
        <f>VLOOKUP(A918,Datos!$A$2:$H$1084,7,FALSE)</f>
        <v>0.00</v>
      </c>
      <c r="G918" t="str">
        <f>VLOOKUP(A918,Datos!$A$2:$H$1084,8,FALSE)</f>
        <v>0.01</v>
      </c>
    </row>
    <row r="919" spans="1:7" x14ac:dyDescent="0.3">
      <c r="A919" s="1">
        <v>170304</v>
      </c>
      <c r="B919" t="str">
        <f>VLOOKUP(A919,Datos!$A$2:$H$1084,3,FALSE)</f>
        <v>86.18</v>
      </c>
      <c r="C919" t="str">
        <f>VLOOKUP(A919,Datos!$A$2:$H$1084,4,FALSE)</f>
        <v>0.00</v>
      </c>
      <c r="D919" t="str">
        <f>VLOOKUP(A919,Datos!$A$2:$H$1084,5,FALSE)</f>
        <v>0.23</v>
      </c>
      <c r="E919" t="str">
        <f>VLOOKUP(A919,Datos!$A$2:$H$1084,6,FALSE)</f>
        <v>6.50</v>
      </c>
      <c r="F919" t="str">
        <f>VLOOKUP(A919,Datos!$A$2:$H$1084,7,FALSE)</f>
        <v>0.00</v>
      </c>
      <c r="G919" t="str">
        <f>VLOOKUP(A919,Datos!$A$2:$H$1084,8,FALSE)</f>
        <v>0.02</v>
      </c>
    </row>
    <row r="920" spans="1:7" x14ac:dyDescent="0.3">
      <c r="A920" s="1">
        <v>156685</v>
      </c>
      <c r="B920" t="str">
        <f>VLOOKUP(A920,Datos!$A$2:$H$1084,3,FALSE)</f>
        <v>52.65</v>
      </c>
      <c r="C920" t="str">
        <f>VLOOKUP(A920,Datos!$A$2:$H$1084,4,FALSE)</f>
        <v>0.00</v>
      </c>
      <c r="D920" t="str">
        <f>VLOOKUP(A920,Datos!$A$2:$H$1084,5,FALSE)</f>
        <v>0.57</v>
      </c>
      <c r="E920" t="str">
        <f>VLOOKUP(A920,Datos!$A$2:$H$1084,6,FALSE)</f>
        <v>3.01</v>
      </c>
      <c r="F920" t="str">
        <f>VLOOKUP(A920,Datos!$A$2:$H$1084,7,FALSE)</f>
        <v>0.00</v>
      </c>
      <c r="G920" t="str">
        <f>VLOOKUP(A920,Datos!$A$2:$H$1084,8,FALSE)</f>
        <v>0.04</v>
      </c>
    </row>
    <row r="921" spans="1:7" x14ac:dyDescent="0.3">
      <c r="A921" s="1">
        <v>65586</v>
      </c>
      <c r="B921" t="str">
        <f>VLOOKUP(A921,Datos!$A$2:$H$1084,3,FALSE)</f>
        <v>19.22</v>
      </c>
      <c r="C921" t="str">
        <f>VLOOKUP(A921,Datos!$A$2:$H$1084,4,FALSE)</f>
        <v>0.00</v>
      </c>
      <c r="D921" t="str">
        <f>VLOOKUP(A921,Datos!$A$2:$H$1084,5,FALSE)</f>
        <v>0.26</v>
      </c>
      <c r="E921" t="str">
        <f>VLOOKUP(A921,Datos!$A$2:$H$1084,6,FALSE)</f>
        <v>9.15</v>
      </c>
      <c r="F921" t="str">
        <f>VLOOKUP(A921,Datos!$A$2:$H$1084,7,FALSE)</f>
        <v>0.00</v>
      </c>
      <c r="G921" t="str">
        <f>VLOOKUP(A921,Datos!$A$2:$H$1084,8,FALSE)</f>
        <v>0.03</v>
      </c>
    </row>
    <row r="922" spans="1:7" x14ac:dyDescent="0.3">
      <c r="A922" s="1">
        <v>445327</v>
      </c>
      <c r="B922" t="str">
        <f>VLOOKUP(A922,Datos!$A$2:$H$1084,3,FALSE)</f>
        <v>36.23</v>
      </c>
      <c r="C922" t="str">
        <f>VLOOKUP(A922,Datos!$A$2:$H$1084,4,FALSE)</f>
        <v>0.00</v>
      </c>
      <c r="D922" t="str">
        <f>VLOOKUP(A922,Datos!$A$2:$H$1084,5,FALSE)</f>
        <v>0.21</v>
      </c>
      <c r="E922" t="str">
        <f>VLOOKUP(A922,Datos!$A$2:$H$1084,6,FALSE)</f>
        <v>3.02</v>
      </c>
      <c r="F922" t="str">
        <f>VLOOKUP(A922,Datos!$A$2:$H$1084,7,FALSE)</f>
        <v>0.00</v>
      </c>
      <c r="G922" t="str">
        <f>VLOOKUP(A922,Datos!$A$2:$H$1084,8,FALSE)</f>
        <v>0.02</v>
      </c>
    </row>
    <row r="923" spans="1:7" x14ac:dyDescent="0.3">
      <c r="A923" s="1">
        <v>76472</v>
      </c>
      <c r="B923" t="str">
        <f>VLOOKUP(A923,Datos!$A$2:$H$1084,3,FALSE)</f>
        <v>108.02</v>
      </c>
      <c r="C923" t="str">
        <f>VLOOKUP(A923,Datos!$A$2:$H$1084,4,FALSE)</f>
        <v>0.00</v>
      </c>
      <c r="D923" t="str">
        <f>VLOOKUP(A923,Datos!$A$2:$H$1084,5,FALSE)</f>
        <v>1.08</v>
      </c>
      <c r="E923" t="str">
        <f>VLOOKUP(A923,Datos!$A$2:$H$1084,6,FALSE)</f>
        <v>30.46</v>
      </c>
      <c r="F923" t="str">
        <f>VLOOKUP(A923,Datos!$A$2:$H$1084,7,FALSE)</f>
        <v>0.00</v>
      </c>
      <c r="G923" t="str">
        <f>VLOOKUP(A923,Datos!$A$2:$H$1084,8,FALSE)</f>
        <v>0.11</v>
      </c>
    </row>
    <row r="924" spans="1:7" x14ac:dyDescent="0.3">
      <c r="A924" s="1">
        <v>450917</v>
      </c>
      <c r="B924" t="str">
        <f>VLOOKUP(A924,Datos!$A$2:$H$1084,3,FALSE)</f>
        <v>23.48</v>
      </c>
      <c r="C924" t="str">
        <f>VLOOKUP(A924,Datos!$A$2:$H$1084,4,FALSE)</f>
        <v>0.00</v>
      </c>
      <c r="D924" t="str">
        <f>VLOOKUP(A924,Datos!$A$2:$H$1084,5,FALSE)</f>
        <v>0.03</v>
      </c>
      <c r="E924" t="str">
        <f>VLOOKUP(A924,Datos!$A$2:$H$1084,6,FALSE)</f>
        <v>11.99</v>
      </c>
      <c r="F924" t="str">
        <f>VLOOKUP(A924,Datos!$A$2:$H$1084,7,FALSE)</f>
        <v>0.00</v>
      </c>
      <c r="G924" t="str">
        <f>VLOOKUP(A924,Datos!$A$2:$H$1084,8,FALSE)</f>
        <v>0.04</v>
      </c>
    </row>
    <row r="925" spans="1:7" x14ac:dyDescent="0.3">
      <c r="A925" s="1">
        <v>444912</v>
      </c>
      <c r="B925" t="str">
        <f>VLOOKUP(A925,Datos!$A$2:$H$1084,3,FALSE)</f>
        <v>36.21</v>
      </c>
      <c r="C925" t="str">
        <f>VLOOKUP(A925,Datos!$A$2:$H$1084,4,FALSE)</f>
        <v>0.00</v>
      </c>
      <c r="D925" t="str">
        <f>VLOOKUP(A925,Datos!$A$2:$H$1084,5,FALSE)</f>
        <v>1.66</v>
      </c>
      <c r="E925" t="str">
        <f>VLOOKUP(A925,Datos!$A$2:$H$1084,6,FALSE)</f>
        <v>17.74</v>
      </c>
      <c r="F925" t="str">
        <f>VLOOKUP(A925,Datos!$A$2:$H$1084,7,FALSE)</f>
        <v>0.00</v>
      </c>
      <c r="G925" t="str">
        <f>VLOOKUP(A925,Datos!$A$2:$H$1084,8,FALSE)</f>
        <v>0.44</v>
      </c>
    </row>
    <row r="926" spans="1:7" x14ac:dyDescent="0.3">
      <c r="A926" s="1">
        <v>619092</v>
      </c>
      <c r="B926" t="str">
        <f>VLOOKUP(A926,Datos!$A$2:$H$1084,3,FALSE)</f>
        <v>27.66</v>
      </c>
      <c r="C926" t="str">
        <f>VLOOKUP(A926,Datos!$A$2:$H$1084,4,FALSE)</f>
        <v>0.00</v>
      </c>
      <c r="D926" t="str">
        <f>VLOOKUP(A926,Datos!$A$2:$H$1084,5,FALSE)</f>
        <v>0.05</v>
      </c>
      <c r="E926" t="str">
        <f>VLOOKUP(A926,Datos!$A$2:$H$1084,6,FALSE)</f>
        <v>13.33</v>
      </c>
      <c r="F926" t="str">
        <f>VLOOKUP(A926,Datos!$A$2:$H$1084,7,FALSE)</f>
        <v>0.00</v>
      </c>
      <c r="G926" t="str">
        <f>VLOOKUP(A926,Datos!$A$2:$H$1084,8,FALSE)</f>
        <v>0.03</v>
      </c>
    </row>
    <row r="927" spans="1:7" x14ac:dyDescent="0.3">
      <c r="A927" s="1">
        <v>461888</v>
      </c>
      <c r="B927" t="str">
        <f>VLOOKUP(A927,Datos!$A$2:$H$1084,3,FALSE)</f>
        <v>72.32</v>
      </c>
      <c r="C927" t="str">
        <f>VLOOKUP(A927,Datos!$A$2:$H$1084,4,FALSE)</f>
        <v>0.00</v>
      </c>
      <c r="D927" t="str">
        <f>VLOOKUP(A927,Datos!$A$2:$H$1084,5,FALSE)</f>
        <v>0.27</v>
      </c>
      <c r="E927" t="str">
        <f>VLOOKUP(A927,Datos!$A$2:$H$1084,6,FALSE)</f>
        <v>17.91</v>
      </c>
      <c r="F927" t="str">
        <f>VLOOKUP(A927,Datos!$A$2:$H$1084,7,FALSE)</f>
        <v>0.00</v>
      </c>
      <c r="G927" t="str">
        <f>VLOOKUP(A927,Datos!$A$2:$H$1084,8,FALSE)</f>
        <v>0.02</v>
      </c>
    </row>
    <row r="928" spans="1:7" x14ac:dyDescent="0.3">
      <c r="A928" s="1">
        <v>441287</v>
      </c>
      <c r="B928" t="str">
        <f>VLOOKUP(A928,Datos!$A$2:$H$1084,3,FALSE)</f>
        <v>69.19</v>
      </c>
      <c r="C928" t="str">
        <f>VLOOKUP(A928,Datos!$A$2:$H$1084,4,FALSE)</f>
        <v>0.00</v>
      </c>
      <c r="D928" t="str">
        <f>VLOOKUP(A928,Datos!$A$2:$H$1084,5,FALSE)</f>
        <v>0.31</v>
      </c>
      <c r="E928" t="str">
        <f>VLOOKUP(A928,Datos!$A$2:$H$1084,6,FALSE)</f>
        <v>34.81</v>
      </c>
      <c r="F928" t="str">
        <f>VLOOKUP(A928,Datos!$A$2:$H$1084,7,FALSE)</f>
        <v>0.00</v>
      </c>
      <c r="G928" t="str">
        <f>VLOOKUP(A928,Datos!$A$2:$H$1084,8,FALSE)</f>
        <v>0.05</v>
      </c>
    </row>
    <row r="929" spans="1:7" x14ac:dyDescent="0.3">
      <c r="A929" s="1">
        <v>170549</v>
      </c>
      <c r="B929" t="str">
        <f>VLOOKUP(A929,Datos!$A$2:$H$1084,3,FALSE)</f>
        <v>26.17</v>
      </c>
      <c r="C929" t="str">
        <f>VLOOKUP(A929,Datos!$A$2:$H$1084,4,FALSE)</f>
        <v>0.01</v>
      </c>
      <c r="D929" t="str">
        <f>VLOOKUP(A929,Datos!$A$2:$H$1084,5,FALSE)</f>
        <v>0.05</v>
      </c>
      <c r="E929" t="str">
        <f>VLOOKUP(A929,Datos!$A$2:$H$1084,6,FALSE)</f>
        <v>1.91</v>
      </c>
      <c r="F929" t="str">
        <f>VLOOKUP(A929,Datos!$A$2:$H$1084,7,FALSE)</f>
        <v>0.01</v>
      </c>
      <c r="G929" t="str">
        <f>VLOOKUP(A929,Datos!$A$2:$H$1084,8,FALSE)</f>
        <v>0.01</v>
      </c>
    </row>
    <row r="930" spans="1:7" x14ac:dyDescent="0.3">
      <c r="A930" s="1">
        <v>61277</v>
      </c>
      <c r="B930" t="str">
        <f>VLOOKUP(A930,Datos!$A$2:$H$1084,3,FALSE)</f>
        <v>81.04</v>
      </c>
      <c r="C930" t="str">
        <f>VLOOKUP(A930,Datos!$A$2:$H$1084,4,FALSE)</f>
        <v>0.00</v>
      </c>
      <c r="D930" t="str">
        <f>VLOOKUP(A930,Datos!$A$2:$H$1084,5,FALSE)</f>
        <v>1.10</v>
      </c>
      <c r="E930" t="str">
        <f>VLOOKUP(A930,Datos!$A$2:$H$1084,6,FALSE)</f>
        <v>10.10</v>
      </c>
      <c r="F930" t="str">
        <f>VLOOKUP(A930,Datos!$A$2:$H$1084,7,FALSE)</f>
        <v>0.00</v>
      </c>
      <c r="G930" t="str">
        <f>VLOOKUP(A930,Datos!$A$2:$H$1084,8,FALSE)</f>
        <v>0.12</v>
      </c>
    </row>
    <row r="931" spans="1:7" x14ac:dyDescent="0.3">
      <c r="A931" s="1">
        <v>264581</v>
      </c>
      <c r="B931" t="str">
        <f>VLOOKUP(A931,Datos!$A$2:$H$1084,3,FALSE)</f>
        <v>52.64</v>
      </c>
      <c r="C931" t="str">
        <f>VLOOKUP(A931,Datos!$A$2:$H$1084,4,FALSE)</f>
        <v>0.00</v>
      </c>
      <c r="D931" t="str">
        <f>VLOOKUP(A931,Datos!$A$2:$H$1084,5,FALSE)</f>
        <v>2.34</v>
      </c>
      <c r="E931" t="str">
        <f>VLOOKUP(A931,Datos!$A$2:$H$1084,6,FALSE)</f>
        <v>51.35</v>
      </c>
      <c r="F931" t="str">
        <f>VLOOKUP(A931,Datos!$A$2:$H$1084,7,FALSE)</f>
        <v>0.00</v>
      </c>
      <c r="G931" t="str">
        <f>VLOOKUP(A931,Datos!$A$2:$H$1084,8,FALSE)</f>
        <v>0.31</v>
      </c>
    </row>
    <row r="932" spans="1:7" x14ac:dyDescent="0.3">
      <c r="A932" s="1">
        <v>148412</v>
      </c>
      <c r="B932" t="str">
        <f>VLOOKUP(A932,Datos!$A$2:$H$1084,3,FALSE)</f>
        <v>49.37</v>
      </c>
      <c r="C932" t="str">
        <f>VLOOKUP(A932,Datos!$A$2:$H$1084,4,FALSE)</f>
        <v>0.00</v>
      </c>
      <c r="D932" t="str">
        <f>VLOOKUP(A932,Datos!$A$2:$H$1084,5,FALSE)</f>
        <v>0.10</v>
      </c>
      <c r="E932" t="str">
        <f>VLOOKUP(A932,Datos!$A$2:$H$1084,6,FALSE)</f>
        <v>15.04</v>
      </c>
      <c r="F932" t="str">
        <f>VLOOKUP(A932,Datos!$A$2:$H$1084,7,FALSE)</f>
        <v>0.00</v>
      </c>
      <c r="G932" t="str">
        <f>VLOOKUP(A932,Datos!$A$2:$H$1084,8,FALSE)</f>
        <v>0.02</v>
      </c>
    </row>
    <row r="933" spans="1:7" x14ac:dyDescent="0.3">
      <c r="A933" s="1">
        <v>159212</v>
      </c>
      <c r="B933" t="str">
        <f>VLOOKUP(A933,Datos!$A$2:$H$1084,3,FALSE)</f>
        <v>46.81</v>
      </c>
      <c r="C933" t="str">
        <f>VLOOKUP(A933,Datos!$A$2:$H$1084,4,FALSE)</f>
        <v>0.00</v>
      </c>
      <c r="D933" t="str">
        <f>VLOOKUP(A933,Datos!$A$2:$H$1084,5,FALSE)</f>
        <v>0.08</v>
      </c>
      <c r="E933" t="str">
        <f>VLOOKUP(A933,Datos!$A$2:$H$1084,6,FALSE)</f>
        <v>31.65</v>
      </c>
      <c r="F933" t="str">
        <f>VLOOKUP(A933,Datos!$A$2:$H$1084,7,FALSE)</f>
        <v>0.00</v>
      </c>
      <c r="G933" t="str">
        <f>VLOOKUP(A933,Datos!$A$2:$H$1084,8,FALSE)</f>
        <v>0.02</v>
      </c>
    </row>
    <row r="934" spans="1:7" x14ac:dyDescent="0.3">
      <c r="A934" s="1">
        <v>465645</v>
      </c>
      <c r="B934" t="str">
        <f>VLOOKUP(A934,Datos!$A$2:$H$1084,3,FALSE)</f>
        <v>77.24</v>
      </c>
      <c r="C934" t="str">
        <f>VLOOKUP(A934,Datos!$A$2:$H$1084,4,FALSE)</f>
        <v>0.00</v>
      </c>
      <c r="D934" t="str">
        <f>VLOOKUP(A934,Datos!$A$2:$H$1084,5,FALSE)</f>
        <v>0.82</v>
      </c>
      <c r="E934" t="str">
        <f>VLOOKUP(A934,Datos!$A$2:$H$1084,6,FALSE)</f>
        <v>25.04</v>
      </c>
      <c r="F934" t="str">
        <f>VLOOKUP(A934,Datos!$A$2:$H$1084,7,FALSE)</f>
        <v>0.00</v>
      </c>
      <c r="G934" t="str">
        <f>VLOOKUP(A934,Datos!$A$2:$H$1084,8,FALSE)</f>
        <v>0.06</v>
      </c>
    </row>
    <row r="935" spans="1:7" x14ac:dyDescent="0.3">
      <c r="A935" s="1">
        <v>457551</v>
      </c>
      <c r="B935" t="str">
        <f>VLOOKUP(A935,Datos!$A$2:$H$1084,3,FALSE)</f>
        <v>98.62</v>
      </c>
      <c r="C935" t="str">
        <f>VLOOKUP(A935,Datos!$A$2:$H$1084,4,FALSE)</f>
        <v>0.00</v>
      </c>
      <c r="D935" t="str">
        <f>VLOOKUP(A935,Datos!$A$2:$H$1084,5,FALSE)</f>
        <v>1.69</v>
      </c>
      <c r="E935" t="str">
        <f>VLOOKUP(A935,Datos!$A$2:$H$1084,6,FALSE)</f>
        <v>10.24</v>
      </c>
      <c r="F935" t="str">
        <f>VLOOKUP(A935,Datos!$A$2:$H$1084,7,FALSE)</f>
        <v>0.00</v>
      </c>
      <c r="G935" t="str">
        <f>VLOOKUP(A935,Datos!$A$2:$H$1084,8,FALSE)</f>
        <v>0.25</v>
      </c>
    </row>
    <row r="936" spans="1:7" x14ac:dyDescent="0.3">
      <c r="A936" s="1">
        <v>63587</v>
      </c>
      <c r="B936" t="str">
        <f>VLOOKUP(A936,Datos!$A$2:$H$1084,3,FALSE)</f>
        <v>39.47</v>
      </c>
      <c r="C936" t="str">
        <f>VLOOKUP(A936,Datos!$A$2:$H$1084,4,FALSE)</f>
        <v>0.00</v>
      </c>
      <c r="D936" t="str">
        <f>VLOOKUP(A936,Datos!$A$2:$H$1084,5,FALSE)</f>
        <v>0.04</v>
      </c>
      <c r="E936" t="str">
        <f>VLOOKUP(A936,Datos!$A$2:$H$1084,6,FALSE)</f>
        <v>5.19</v>
      </c>
      <c r="F936" t="str">
        <f>VLOOKUP(A936,Datos!$A$2:$H$1084,7,FALSE)</f>
        <v>0.00</v>
      </c>
      <c r="G936" t="str">
        <f>VLOOKUP(A936,Datos!$A$2:$H$1084,8,FALSE)</f>
        <v>0.01</v>
      </c>
    </row>
    <row r="937" spans="1:7" x14ac:dyDescent="0.3">
      <c r="A937" s="1">
        <v>452742</v>
      </c>
      <c r="B937" t="str">
        <f>VLOOKUP(A937,Datos!$A$2:$H$1084,3,FALSE)</f>
        <v>65.18</v>
      </c>
      <c r="C937" t="str">
        <f>VLOOKUP(A937,Datos!$A$2:$H$1084,4,FALSE)</f>
        <v>0.00</v>
      </c>
      <c r="D937" t="str">
        <f>VLOOKUP(A937,Datos!$A$2:$H$1084,5,FALSE)</f>
        <v>0.22</v>
      </c>
      <c r="E937" t="str">
        <f>VLOOKUP(A937,Datos!$A$2:$H$1084,6,FALSE)</f>
        <v>1.78</v>
      </c>
      <c r="F937" t="str">
        <f>VLOOKUP(A937,Datos!$A$2:$H$1084,7,FALSE)</f>
        <v>0.00</v>
      </c>
      <c r="G937" t="str">
        <f>VLOOKUP(A937,Datos!$A$2:$H$1084,8,FALSE)</f>
        <v>0.02</v>
      </c>
    </row>
    <row r="938" spans="1:7" x14ac:dyDescent="0.3">
      <c r="A938" s="1">
        <v>47682</v>
      </c>
      <c r="B938" t="str">
        <f>VLOOKUP(A938,Datos!$A$2:$H$1084,3,FALSE)</f>
        <v>20.14</v>
      </c>
      <c r="C938" t="str">
        <f>VLOOKUP(A938,Datos!$A$2:$H$1084,4,FALSE)</f>
        <v>0.00</v>
      </c>
      <c r="D938" t="str">
        <f>VLOOKUP(A938,Datos!$A$2:$H$1084,5,FALSE)</f>
        <v>0.01</v>
      </c>
      <c r="E938" t="str">
        <f>VLOOKUP(A938,Datos!$A$2:$H$1084,6,FALSE)</f>
        <v>0.73</v>
      </c>
      <c r="F938" t="str">
        <f>VLOOKUP(A938,Datos!$A$2:$H$1084,7,FALSE)</f>
        <v>0.00</v>
      </c>
      <c r="G938" t="str">
        <f>VLOOKUP(A938,Datos!$A$2:$H$1084,8,FALSE)</f>
        <v>0.01</v>
      </c>
    </row>
    <row r="939" spans="1:7" x14ac:dyDescent="0.3">
      <c r="A939" s="1">
        <v>599843</v>
      </c>
      <c r="B939" t="str">
        <f>VLOOKUP(A939,Datos!$A$2:$H$1084,3,FALSE)</f>
        <v>88.60</v>
      </c>
      <c r="C939" t="str">
        <f>VLOOKUP(A939,Datos!$A$2:$H$1084,4,FALSE)</f>
        <v>0.00</v>
      </c>
      <c r="D939" t="str">
        <f>VLOOKUP(A939,Datos!$A$2:$H$1084,5,FALSE)</f>
        <v>2.17</v>
      </c>
      <c r="E939" t="str">
        <f>VLOOKUP(A939,Datos!$A$2:$H$1084,6,FALSE)</f>
        <v>5.13</v>
      </c>
      <c r="F939" t="str">
        <f>VLOOKUP(A939,Datos!$A$2:$H$1084,7,FALSE)</f>
        <v>0.00</v>
      </c>
      <c r="G939" t="str">
        <f>VLOOKUP(A939,Datos!$A$2:$H$1084,8,FALSE)</f>
        <v>0.05</v>
      </c>
    </row>
    <row r="940" spans="1:7" x14ac:dyDescent="0.3">
      <c r="A940" s="1">
        <v>459178</v>
      </c>
      <c r="B940" t="str">
        <f>VLOOKUP(A940,Datos!$A$2:$H$1084,3,FALSE)</f>
        <v>76.42</v>
      </c>
      <c r="C940" t="str">
        <f>VLOOKUP(A940,Datos!$A$2:$H$1084,4,FALSE)</f>
        <v>0.00</v>
      </c>
      <c r="D940" t="str">
        <f>VLOOKUP(A940,Datos!$A$2:$H$1084,5,FALSE)</f>
        <v>0.62</v>
      </c>
      <c r="E940" t="str">
        <f>VLOOKUP(A940,Datos!$A$2:$H$1084,6,FALSE)</f>
        <v>19.22</v>
      </c>
      <c r="F940" t="str">
        <f>VLOOKUP(A940,Datos!$A$2:$H$1084,7,FALSE)</f>
        <v>0.00</v>
      </c>
      <c r="G940" t="str">
        <f>VLOOKUP(A940,Datos!$A$2:$H$1084,8,FALSE)</f>
        <v>0.06</v>
      </c>
    </row>
    <row r="941" spans="1:7" x14ac:dyDescent="0.3">
      <c r="A941" s="1">
        <v>465259</v>
      </c>
      <c r="B941" t="str">
        <f>VLOOKUP(A941,Datos!$A$2:$H$1084,3,FALSE)</f>
        <v>29.50</v>
      </c>
      <c r="C941" t="str">
        <f>VLOOKUP(A941,Datos!$A$2:$H$1084,4,FALSE)</f>
        <v>0.00</v>
      </c>
      <c r="D941" t="str">
        <f>VLOOKUP(A941,Datos!$A$2:$H$1084,5,FALSE)</f>
        <v>0.19</v>
      </c>
      <c r="E941" t="str">
        <f>VLOOKUP(A941,Datos!$A$2:$H$1084,6,FALSE)</f>
        <v>18.34</v>
      </c>
      <c r="F941" t="str">
        <f>VLOOKUP(A941,Datos!$A$2:$H$1084,7,FALSE)</f>
        <v>0.00</v>
      </c>
      <c r="G941" t="str">
        <f>VLOOKUP(A941,Datos!$A$2:$H$1084,8,FALSE)</f>
        <v>0.05</v>
      </c>
    </row>
    <row r="942" spans="1:7" x14ac:dyDescent="0.3">
      <c r="A942" s="1">
        <v>463793</v>
      </c>
      <c r="B942" t="str">
        <f>VLOOKUP(A942,Datos!$A$2:$H$1084,3,FALSE)</f>
        <v>39.21</v>
      </c>
      <c r="C942" t="str">
        <f>VLOOKUP(A942,Datos!$A$2:$H$1084,4,FALSE)</f>
        <v>0.00</v>
      </c>
      <c r="D942" t="str">
        <f>VLOOKUP(A942,Datos!$A$2:$H$1084,5,FALSE)</f>
        <v>0.05</v>
      </c>
      <c r="E942" t="str">
        <f>VLOOKUP(A942,Datos!$A$2:$H$1084,6,FALSE)</f>
        <v>1.46</v>
      </c>
      <c r="F942" t="str">
        <f>VLOOKUP(A942,Datos!$A$2:$H$1084,7,FALSE)</f>
        <v>0.00</v>
      </c>
      <c r="G942" t="str">
        <f>VLOOKUP(A942,Datos!$A$2:$H$1084,8,FALSE)</f>
        <v>0.01</v>
      </c>
    </row>
    <row r="943" spans="1:7" x14ac:dyDescent="0.3">
      <c r="A943" s="1">
        <v>79461</v>
      </c>
      <c r="B943" t="str">
        <f>VLOOKUP(A943,Datos!$A$2:$H$1084,3,FALSE)</f>
        <v>119.23</v>
      </c>
      <c r="C943" t="str">
        <f>VLOOKUP(A943,Datos!$A$2:$H$1084,4,FALSE)</f>
        <v>0.00</v>
      </c>
      <c r="D943" t="str">
        <f>VLOOKUP(A943,Datos!$A$2:$H$1084,5,FALSE)</f>
        <v>1.36</v>
      </c>
      <c r="E943" t="str">
        <f>VLOOKUP(A943,Datos!$A$2:$H$1084,6,FALSE)</f>
        <v>8.00</v>
      </c>
      <c r="F943" t="str">
        <f>VLOOKUP(A943,Datos!$A$2:$H$1084,7,FALSE)</f>
        <v>0.00</v>
      </c>
      <c r="G943" t="str">
        <f>VLOOKUP(A943,Datos!$A$2:$H$1084,8,FALSE)</f>
        <v>0.09</v>
      </c>
    </row>
    <row r="944" spans="1:7" x14ac:dyDescent="0.3">
      <c r="A944" s="1">
        <v>60819</v>
      </c>
      <c r="B944" t="str">
        <f>VLOOKUP(A944,Datos!$A$2:$H$1084,3,FALSE)</f>
        <v>25.25</v>
      </c>
      <c r="C944" t="str">
        <f>VLOOKUP(A944,Datos!$A$2:$H$1084,4,FALSE)</f>
        <v>0.00</v>
      </c>
      <c r="D944" t="str">
        <f>VLOOKUP(A944,Datos!$A$2:$H$1084,5,FALSE)</f>
        <v>0.04</v>
      </c>
      <c r="E944" t="str">
        <f>VLOOKUP(A944,Datos!$A$2:$H$1084,6,FALSE)</f>
        <v>2.73</v>
      </c>
      <c r="F944" t="str">
        <f>VLOOKUP(A944,Datos!$A$2:$H$1084,7,FALSE)</f>
        <v>0.00</v>
      </c>
      <c r="G944" t="str">
        <f>VLOOKUP(A944,Datos!$A$2:$H$1084,8,FALSE)</f>
        <v>0.01</v>
      </c>
    </row>
    <row r="945" spans="1:7" x14ac:dyDescent="0.3">
      <c r="A945" s="1">
        <v>61442</v>
      </c>
      <c r="B945" t="str">
        <f>VLOOKUP(A945,Datos!$A$2:$H$1084,3,FALSE)</f>
        <v>71.60</v>
      </c>
      <c r="C945" t="str">
        <f>VLOOKUP(A945,Datos!$A$2:$H$1084,4,FALSE)</f>
        <v>0.00</v>
      </c>
      <c r="D945" t="str">
        <f>VLOOKUP(A945,Datos!$A$2:$H$1084,5,FALSE)</f>
        <v>0.51</v>
      </c>
      <c r="E945" t="str">
        <f>VLOOKUP(A945,Datos!$A$2:$H$1084,6,FALSE)</f>
        <v>5.30</v>
      </c>
      <c r="F945" t="str">
        <f>VLOOKUP(A945,Datos!$A$2:$H$1084,7,FALSE)</f>
        <v>0.00</v>
      </c>
      <c r="G945" t="str">
        <f>VLOOKUP(A945,Datos!$A$2:$H$1084,8,FALSE)</f>
        <v>0.03</v>
      </c>
    </row>
    <row r="946" spans="1:7" x14ac:dyDescent="0.3">
      <c r="A946" s="1">
        <v>69382</v>
      </c>
      <c r="B946" t="str">
        <f>VLOOKUP(A946,Datos!$A$2:$H$1084,3,FALSE)</f>
        <v>0.00</v>
      </c>
      <c r="C946" t="str">
        <f>VLOOKUP(A946,Datos!$A$2:$H$1084,4,FALSE)</f>
        <v>0.00</v>
      </c>
      <c r="D946" t="str">
        <f>VLOOKUP(A946,Datos!$A$2:$H$1084,5,FALSE)</f>
        <v>0.00</v>
      </c>
      <c r="E946" t="str">
        <f>VLOOKUP(A946,Datos!$A$2:$H$1084,6,FALSE)</f>
        <v>0.01</v>
      </c>
      <c r="F946" t="str">
        <f>VLOOKUP(A946,Datos!$A$2:$H$1084,7,FALSE)</f>
        <v>0.00</v>
      </c>
      <c r="G946" t="str">
        <f>VLOOKUP(A946,Datos!$A$2:$H$1084,8,FALSE)</f>
        <v>0.00</v>
      </c>
    </row>
    <row r="947" spans="1:7" x14ac:dyDescent="0.3">
      <c r="A947" s="1">
        <v>457508</v>
      </c>
      <c r="B947" t="str">
        <f>VLOOKUP(A947,Datos!$A$2:$H$1084,3,FALSE)</f>
        <v>21.23</v>
      </c>
      <c r="C947" t="str">
        <f>VLOOKUP(A947,Datos!$A$2:$H$1084,4,FALSE)</f>
        <v>0.00</v>
      </c>
      <c r="D947" t="str">
        <f>VLOOKUP(A947,Datos!$A$2:$H$1084,5,FALSE)</f>
        <v>0.02</v>
      </c>
      <c r="E947" t="str">
        <f>VLOOKUP(A947,Datos!$A$2:$H$1084,6,FALSE)</f>
        <v>0.49</v>
      </c>
      <c r="F947" t="str">
        <f>VLOOKUP(A947,Datos!$A$2:$H$1084,7,FALSE)</f>
        <v>0.00</v>
      </c>
      <c r="G947" t="str">
        <f>VLOOKUP(A947,Datos!$A$2:$H$1084,8,FALSE)</f>
        <v>0.00</v>
      </c>
    </row>
    <row r="948" spans="1:7" x14ac:dyDescent="0.3">
      <c r="A948" s="1">
        <v>60800</v>
      </c>
      <c r="B948" t="str">
        <f>VLOOKUP(A948,Datos!$A$2:$H$1084,3,FALSE)</f>
        <v>7.08</v>
      </c>
      <c r="C948" t="str">
        <f>VLOOKUP(A948,Datos!$A$2:$H$1084,4,FALSE)</f>
        <v>0.00</v>
      </c>
      <c r="D948" t="str">
        <f>VLOOKUP(A948,Datos!$A$2:$H$1084,5,FALSE)</f>
        <v>0.04</v>
      </c>
      <c r="E948" t="str">
        <f>VLOOKUP(A948,Datos!$A$2:$H$1084,6,FALSE)</f>
        <v>2.16</v>
      </c>
      <c r="F948" t="str">
        <f>VLOOKUP(A948,Datos!$A$2:$H$1084,7,FALSE)</f>
        <v>0.00</v>
      </c>
      <c r="G948" t="str">
        <f>VLOOKUP(A948,Datos!$A$2:$H$1084,8,FALSE)</f>
        <v>0.01</v>
      </c>
    </row>
    <row r="949" spans="1:7" x14ac:dyDescent="0.3">
      <c r="A949" s="1">
        <v>443696</v>
      </c>
      <c r="B949" t="str">
        <f>VLOOKUP(A949,Datos!$A$2:$H$1084,3,FALSE)</f>
        <v>78.92</v>
      </c>
      <c r="C949" t="str">
        <f>VLOOKUP(A949,Datos!$A$2:$H$1084,4,FALSE)</f>
        <v>0.00</v>
      </c>
      <c r="D949" t="str">
        <f>VLOOKUP(A949,Datos!$A$2:$H$1084,5,FALSE)</f>
        <v>0.62</v>
      </c>
      <c r="E949" t="str">
        <f>VLOOKUP(A949,Datos!$A$2:$H$1084,6,FALSE)</f>
        <v>49.70</v>
      </c>
      <c r="F949" t="str">
        <f>VLOOKUP(A949,Datos!$A$2:$H$1084,7,FALSE)</f>
        <v>0.00</v>
      </c>
      <c r="G949" t="str">
        <f>VLOOKUP(A949,Datos!$A$2:$H$1084,8,FALSE)</f>
        <v>0.11</v>
      </c>
    </row>
    <row r="950" spans="1:7" x14ac:dyDescent="0.3">
      <c r="A950" s="1">
        <v>60956</v>
      </c>
      <c r="B950" t="str">
        <f>VLOOKUP(A950,Datos!$A$2:$H$1084,3,FALSE)</f>
        <v>0</v>
      </c>
      <c r="C950" t="str">
        <f>VLOOKUP(A950,Datos!$A$2:$H$1084,4,FALSE)</f>
        <v>0</v>
      </c>
      <c r="D950" t="str">
        <f>VLOOKUP(A950,Datos!$A$2:$H$1084,5,FALSE)</f>
        <v>0</v>
      </c>
      <c r="E950" t="str">
        <f>VLOOKUP(A950,Datos!$A$2:$H$1084,6,FALSE)</f>
        <v>0</v>
      </c>
      <c r="F950" t="str">
        <f>VLOOKUP(A950,Datos!$A$2:$H$1084,7,FALSE)</f>
        <v>0</v>
      </c>
      <c r="G950" t="str">
        <f>VLOOKUP(A950,Datos!$A$2:$H$1084,8,FALSE)</f>
        <v>0</v>
      </c>
    </row>
    <row r="951" spans="1:7" x14ac:dyDescent="0.3">
      <c r="A951" s="1">
        <v>170484</v>
      </c>
      <c r="B951" t="str">
        <f>VLOOKUP(A951,Datos!$A$2:$H$1084,3,FALSE)</f>
        <v>30.02</v>
      </c>
      <c r="C951" t="str">
        <f>VLOOKUP(A951,Datos!$A$2:$H$1084,4,FALSE)</f>
        <v>0.00</v>
      </c>
      <c r="D951" t="str">
        <f>VLOOKUP(A951,Datos!$A$2:$H$1084,5,FALSE)</f>
        <v>0.15</v>
      </c>
      <c r="E951" t="str">
        <f>VLOOKUP(A951,Datos!$A$2:$H$1084,6,FALSE)</f>
        <v>1.83</v>
      </c>
      <c r="F951" t="str">
        <f>VLOOKUP(A951,Datos!$A$2:$H$1084,7,FALSE)</f>
        <v>0.00</v>
      </c>
      <c r="G951" t="str">
        <f>VLOOKUP(A951,Datos!$A$2:$H$1084,8,FALSE)</f>
        <v>0.01</v>
      </c>
    </row>
    <row r="952" spans="1:7" x14ac:dyDescent="0.3">
      <c r="A952" s="1">
        <v>463364</v>
      </c>
      <c r="B952" t="str">
        <f>VLOOKUP(A952,Datos!$A$2:$H$1084,3,FALSE)</f>
        <v>54.44</v>
      </c>
      <c r="C952" t="str">
        <f>VLOOKUP(A952,Datos!$A$2:$H$1084,4,FALSE)</f>
        <v>0.00</v>
      </c>
      <c r="D952" t="str">
        <f>VLOOKUP(A952,Datos!$A$2:$H$1084,5,FALSE)</f>
        <v>0.11</v>
      </c>
      <c r="E952" t="str">
        <f>VLOOKUP(A952,Datos!$A$2:$H$1084,6,FALSE)</f>
        <v>1.44</v>
      </c>
      <c r="F952" t="str">
        <f>VLOOKUP(A952,Datos!$A$2:$H$1084,7,FALSE)</f>
        <v>0.00</v>
      </c>
      <c r="G952" t="str">
        <f>VLOOKUP(A952,Datos!$A$2:$H$1084,8,FALSE)</f>
        <v>0.01</v>
      </c>
    </row>
    <row r="953" spans="1:7" x14ac:dyDescent="0.3">
      <c r="A953" s="1">
        <v>59854</v>
      </c>
      <c r="B953" t="str">
        <f>VLOOKUP(A953,Datos!$A$2:$H$1084,3,FALSE)</f>
        <v>39.87</v>
      </c>
      <c r="C953" t="str">
        <f>VLOOKUP(A953,Datos!$A$2:$H$1084,4,FALSE)</f>
        <v>0.01</v>
      </c>
      <c r="D953" t="str">
        <f>VLOOKUP(A953,Datos!$A$2:$H$1084,5,FALSE)</f>
        <v>0.26</v>
      </c>
      <c r="E953" t="str">
        <f>VLOOKUP(A953,Datos!$A$2:$H$1084,6,FALSE)</f>
        <v>4.91</v>
      </c>
      <c r="F953" t="str">
        <f>VLOOKUP(A953,Datos!$A$2:$H$1084,7,FALSE)</f>
        <v>0.01</v>
      </c>
      <c r="G953" t="str">
        <f>VLOOKUP(A953,Datos!$A$2:$H$1084,8,FALSE)</f>
        <v>0.03</v>
      </c>
    </row>
    <row r="954" spans="1:7" x14ac:dyDescent="0.3">
      <c r="A954" s="1">
        <v>159194</v>
      </c>
      <c r="B954" t="str">
        <f>VLOOKUP(A954,Datos!$A$2:$H$1084,3,FALSE)</f>
        <v>136.80</v>
      </c>
      <c r="C954" t="str">
        <f>VLOOKUP(A954,Datos!$A$2:$H$1084,4,FALSE)</f>
        <v>0.00</v>
      </c>
      <c r="D954" t="str">
        <f>VLOOKUP(A954,Datos!$A$2:$H$1084,5,FALSE)</f>
        <v>0.81</v>
      </c>
      <c r="E954" t="str">
        <f>VLOOKUP(A954,Datos!$A$2:$H$1084,6,FALSE)</f>
        <v>7.84</v>
      </c>
      <c r="F954" t="str">
        <f>VLOOKUP(A954,Datos!$A$2:$H$1084,7,FALSE)</f>
        <v>0.00</v>
      </c>
      <c r="G954" t="str">
        <f>VLOOKUP(A954,Datos!$A$2:$H$1084,8,FALSE)</f>
        <v>0.04</v>
      </c>
    </row>
    <row r="955" spans="1:7" x14ac:dyDescent="0.3">
      <c r="A955" s="1">
        <v>146446</v>
      </c>
      <c r="B955" t="str">
        <f>VLOOKUP(A955,Datos!$A$2:$H$1084,3,FALSE)</f>
        <v>39.98</v>
      </c>
      <c r="C955" t="str">
        <f>VLOOKUP(A955,Datos!$A$2:$H$1084,4,FALSE)</f>
        <v>0.00</v>
      </c>
      <c r="D955" t="str">
        <f>VLOOKUP(A955,Datos!$A$2:$H$1084,5,FALSE)</f>
        <v>0.07</v>
      </c>
      <c r="E955" t="str">
        <f>VLOOKUP(A955,Datos!$A$2:$H$1084,6,FALSE)</f>
        <v>17.52</v>
      </c>
      <c r="F955" t="str">
        <f>VLOOKUP(A955,Datos!$A$2:$H$1084,7,FALSE)</f>
        <v>0.00</v>
      </c>
      <c r="G955" t="str">
        <f>VLOOKUP(A955,Datos!$A$2:$H$1084,8,FALSE)</f>
        <v>0.02</v>
      </c>
    </row>
    <row r="956" spans="1:7" x14ac:dyDescent="0.3">
      <c r="A956" s="1">
        <v>60490</v>
      </c>
      <c r="B956" t="str">
        <f>VLOOKUP(A956,Datos!$A$2:$H$1084,3,FALSE)</f>
        <v>114.21</v>
      </c>
      <c r="C956" t="str">
        <f>VLOOKUP(A956,Datos!$A$2:$H$1084,4,FALSE)</f>
        <v>0.01</v>
      </c>
      <c r="D956" t="str">
        <f>VLOOKUP(A956,Datos!$A$2:$H$1084,5,FALSE)</f>
        <v>3.26</v>
      </c>
      <c r="E956" t="str">
        <f>VLOOKUP(A956,Datos!$A$2:$H$1084,6,FALSE)</f>
        <v>17.94</v>
      </c>
      <c r="F956" t="str">
        <f>VLOOKUP(A956,Datos!$A$2:$H$1084,7,FALSE)</f>
        <v>0.01</v>
      </c>
      <c r="G956" t="str">
        <f>VLOOKUP(A956,Datos!$A$2:$H$1084,8,FALSE)</f>
        <v>0.30</v>
      </c>
    </row>
    <row r="957" spans="1:7" x14ac:dyDescent="0.3">
      <c r="A957" s="1">
        <v>151169</v>
      </c>
      <c r="B957" t="str">
        <f>VLOOKUP(A957,Datos!$A$2:$H$1084,3,FALSE)</f>
        <v>17.45</v>
      </c>
      <c r="C957" t="str">
        <f>VLOOKUP(A957,Datos!$A$2:$H$1084,4,FALSE)</f>
        <v>0.00</v>
      </c>
      <c r="D957" t="str">
        <f>VLOOKUP(A957,Datos!$A$2:$H$1084,5,FALSE)</f>
        <v>0.03</v>
      </c>
      <c r="E957" t="str">
        <f>VLOOKUP(A957,Datos!$A$2:$H$1084,6,FALSE)</f>
        <v>1.27</v>
      </c>
      <c r="F957" t="str">
        <f>VLOOKUP(A957,Datos!$A$2:$H$1084,7,FALSE)</f>
        <v>0.00</v>
      </c>
      <c r="G957" t="str">
        <f>VLOOKUP(A957,Datos!$A$2:$H$1084,8,FALSE)</f>
        <v>0.01</v>
      </c>
    </row>
    <row r="958" spans="1:7" x14ac:dyDescent="0.3">
      <c r="A958" s="1">
        <v>462595</v>
      </c>
      <c r="B958" t="str">
        <f>VLOOKUP(A958,Datos!$A$2:$H$1084,3,FALSE)</f>
        <v>67.45</v>
      </c>
      <c r="C958" t="str">
        <f>VLOOKUP(A958,Datos!$A$2:$H$1084,4,FALSE)</f>
        <v>0.00</v>
      </c>
      <c r="D958" t="str">
        <f>VLOOKUP(A958,Datos!$A$2:$H$1084,5,FALSE)</f>
        <v>0.40</v>
      </c>
      <c r="E958" t="str">
        <f>VLOOKUP(A958,Datos!$A$2:$H$1084,6,FALSE)</f>
        <v>9.71</v>
      </c>
      <c r="F958" t="str">
        <f>VLOOKUP(A958,Datos!$A$2:$H$1084,7,FALSE)</f>
        <v>0.00</v>
      </c>
      <c r="G958" t="str">
        <f>VLOOKUP(A958,Datos!$A$2:$H$1084,8,FALSE)</f>
        <v>0.03</v>
      </c>
    </row>
    <row r="959" spans="1:7" x14ac:dyDescent="0.3">
      <c r="A959" s="1">
        <v>453416</v>
      </c>
      <c r="B959" t="str">
        <f>VLOOKUP(A959,Datos!$A$2:$H$1084,3,FALSE)</f>
        <v>46.20</v>
      </c>
      <c r="C959" t="str">
        <f>VLOOKUP(A959,Datos!$A$2:$H$1084,4,FALSE)</f>
        <v>0.00</v>
      </c>
      <c r="D959" t="str">
        <f>VLOOKUP(A959,Datos!$A$2:$H$1084,5,FALSE)</f>
        <v>0.30</v>
      </c>
      <c r="E959" t="str">
        <f>VLOOKUP(A959,Datos!$A$2:$H$1084,6,FALSE)</f>
        <v>36.26</v>
      </c>
      <c r="F959" t="str">
        <f>VLOOKUP(A959,Datos!$A$2:$H$1084,7,FALSE)</f>
        <v>0.00</v>
      </c>
      <c r="G959" t="str">
        <f>VLOOKUP(A959,Datos!$A$2:$H$1084,8,FALSE)</f>
        <v>0.04</v>
      </c>
    </row>
    <row r="960" spans="1:7" x14ac:dyDescent="0.3">
      <c r="A960" s="1">
        <v>838669</v>
      </c>
      <c r="B960" t="str">
        <f>VLOOKUP(A960,Datos!$A$2:$H$1084,3,FALSE)</f>
        <v>47.12</v>
      </c>
      <c r="C960" t="str">
        <f>VLOOKUP(A960,Datos!$A$2:$H$1084,4,FALSE)</f>
        <v>0.00</v>
      </c>
      <c r="D960" t="str">
        <f>VLOOKUP(A960,Datos!$A$2:$H$1084,5,FALSE)</f>
        <v>0.23</v>
      </c>
      <c r="E960" t="str">
        <f>VLOOKUP(A960,Datos!$A$2:$H$1084,6,FALSE)</f>
        <v>8.73</v>
      </c>
      <c r="F960" t="str">
        <f>VLOOKUP(A960,Datos!$A$2:$H$1084,7,FALSE)</f>
        <v>0.00</v>
      </c>
      <c r="G960" t="str">
        <f>VLOOKUP(A960,Datos!$A$2:$H$1084,8,FALSE)</f>
        <v>0.03</v>
      </c>
    </row>
    <row r="961" spans="1:7" x14ac:dyDescent="0.3">
      <c r="A961" s="1">
        <v>155803</v>
      </c>
      <c r="B961" t="str">
        <f>VLOOKUP(A961,Datos!$A$2:$H$1084,3,FALSE)</f>
        <v>91.37</v>
      </c>
      <c r="C961" t="str">
        <f>VLOOKUP(A961,Datos!$A$2:$H$1084,4,FALSE)</f>
        <v>0.00</v>
      </c>
      <c r="D961" t="str">
        <f>VLOOKUP(A961,Datos!$A$2:$H$1084,5,FALSE)</f>
        <v>2.48</v>
      </c>
      <c r="E961" t="str">
        <f>VLOOKUP(A961,Datos!$A$2:$H$1084,6,FALSE)</f>
        <v>37.65</v>
      </c>
      <c r="F961" t="str">
        <f>VLOOKUP(A961,Datos!$A$2:$H$1084,7,FALSE)</f>
        <v>0.00</v>
      </c>
      <c r="G961" t="str">
        <f>VLOOKUP(A961,Datos!$A$2:$H$1084,8,FALSE)</f>
        <v>0.07</v>
      </c>
    </row>
    <row r="962" spans="1:7" x14ac:dyDescent="0.3">
      <c r="A962" s="1">
        <v>48945</v>
      </c>
      <c r="B962" t="str">
        <f>VLOOKUP(A962,Datos!$A$2:$H$1084,3,FALSE)</f>
        <v>50.91</v>
      </c>
      <c r="C962" t="str">
        <f>VLOOKUP(A962,Datos!$A$2:$H$1084,4,FALSE)</f>
        <v>0.00</v>
      </c>
      <c r="D962" t="str">
        <f>VLOOKUP(A962,Datos!$A$2:$H$1084,5,FALSE)</f>
        <v>0.51</v>
      </c>
      <c r="E962" t="str">
        <f>VLOOKUP(A962,Datos!$A$2:$H$1084,6,FALSE)</f>
        <v>5.46</v>
      </c>
      <c r="F962" t="str">
        <f>VLOOKUP(A962,Datos!$A$2:$H$1084,7,FALSE)</f>
        <v>0.00</v>
      </c>
      <c r="G962" t="str">
        <f>VLOOKUP(A962,Datos!$A$2:$H$1084,8,FALSE)</f>
        <v>0.04</v>
      </c>
    </row>
    <row r="963" spans="1:7" x14ac:dyDescent="0.3">
      <c r="A963" s="1">
        <v>152239</v>
      </c>
      <c r="B963" t="str">
        <f>VLOOKUP(A963,Datos!$A$2:$H$1084,3,FALSE)</f>
        <v>438.93</v>
      </c>
      <c r="C963" t="str">
        <f>VLOOKUP(A963,Datos!$A$2:$H$1084,4,FALSE)</f>
        <v>0.00</v>
      </c>
      <c r="D963" t="str">
        <f>VLOOKUP(A963,Datos!$A$2:$H$1084,5,FALSE)</f>
        <v>0.72</v>
      </c>
      <c r="E963" t="str">
        <f>VLOOKUP(A963,Datos!$A$2:$H$1084,6,FALSE)</f>
        <v>10.88</v>
      </c>
      <c r="F963" t="str">
        <f>VLOOKUP(A963,Datos!$A$2:$H$1084,7,FALSE)</f>
        <v>0.00</v>
      </c>
      <c r="G963" t="str">
        <f>VLOOKUP(A963,Datos!$A$2:$H$1084,8,FALSE)</f>
        <v>0.05</v>
      </c>
    </row>
    <row r="964" spans="1:7" x14ac:dyDescent="0.3">
      <c r="A964" s="1">
        <v>467932</v>
      </c>
      <c r="B964" t="str">
        <f>VLOOKUP(A964,Datos!$A$2:$H$1084,3,FALSE)</f>
        <v>50.54</v>
      </c>
      <c r="C964" t="str">
        <f>VLOOKUP(A964,Datos!$A$2:$H$1084,4,FALSE)</f>
        <v>0.00</v>
      </c>
      <c r="D964" t="str">
        <f>VLOOKUP(A964,Datos!$A$2:$H$1084,5,FALSE)</f>
        <v>0.97</v>
      </c>
      <c r="E964" t="str">
        <f>VLOOKUP(A964,Datos!$A$2:$H$1084,6,FALSE)</f>
        <v>8.77</v>
      </c>
      <c r="F964" t="str">
        <f>VLOOKUP(A964,Datos!$A$2:$H$1084,7,FALSE)</f>
        <v>0.00</v>
      </c>
      <c r="G964" t="str">
        <f>VLOOKUP(A964,Datos!$A$2:$H$1084,8,FALSE)</f>
        <v>0.09</v>
      </c>
    </row>
    <row r="965" spans="1:7" x14ac:dyDescent="0.3">
      <c r="A965" s="1">
        <v>815432</v>
      </c>
      <c r="B965" t="str">
        <f>VLOOKUP(A965,Datos!$A$2:$H$1084,3,FALSE)</f>
        <v>64.87</v>
      </c>
      <c r="C965" t="str">
        <f>VLOOKUP(A965,Datos!$A$2:$H$1084,4,FALSE)</f>
        <v>0.00</v>
      </c>
      <c r="D965" t="str">
        <f>VLOOKUP(A965,Datos!$A$2:$H$1084,5,FALSE)</f>
        <v>0.79</v>
      </c>
      <c r="E965" t="str">
        <f>VLOOKUP(A965,Datos!$A$2:$H$1084,6,FALSE)</f>
        <v>13.21</v>
      </c>
      <c r="F965" t="str">
        <f>VLOOKUP(A965,Datos!$A$2:$H$1084,7,FALSE)</f>
        <v>0.00</v>
      </c>
      <c r="G965" t="str">
        <f>VLOOKUP(A965,Datos!$A$2:$H$1084,8,FALSE)</f>
        <v>0.07</v>
      </c>
    </row>
    <row r="966" spans="1:7" x14ac:dyDescent="0.3">
      <c r="A966" s="1">
        <v>150565</v>
      </c>
      <c r="B966" t="str">
        <f>VLOOKUP(A966,Datos!$A$2:$H$1084,3,FALSE)</f>
        <v>41.37</v>
      </c>
      <c r="C966" t="str">
        <f>VLOOKUP(A966,Datos!$A$2:$H$1084,4,FALSE)</f>
        <v>0.00</v>
      </c>
      <c r="D966" t="str">
        <f>VLOOKUP(A966,Datos!$A$2:$H$1084,5,FALSE)</f>
        <v>0.41</v>
      </c>
      <c r="E966" t="str">
        <f>VLOOKUP(A966,Datos!$A$2:$H$1084,6,FALSE)</f>
        <v>2.08</v>
      </c>
      <c r="F966" t="str">
        <f>VLOOKUP(A966,Datos!$A$2:$H$1084,7,FALSE)</f>
        <v>0.00</v>
      </c>
      <c r="G966" t="str">
        <f>VLOOKUP(A966,Datos!$A$2:$H$1084,8,FALSE)</f>
        <v>0.01</v>
      </c>
    </row>
    <row r="967" spans="1:7" x14ac:dyDescent="0.3">
      <c r="A967" s="1">
        <v>147714</v>
      </c>
      <c r="B967" t="str">
        <f>VLOOKUP(A967,Datos!$A$2:$H$1084,3,FALSE)</f>
        <v>27.01</v>
      </c>
      <c r="C967" t="str">
        <f>VLOOKUP(A967,Datos!$A$2:$H$1084,4,FALSE)</f>
        <v>0.00</v>
      </c>
      <c r="D967" t="str">
        <f>VLOOKUP(A967,Datos!$A$2:$H$1084,5,FALSE)</f>
        <v>0.09</v>
      </c>
      <c r="E967" t="str">
        <f>VLOOKUP(A967,Datos!$A$2:$H$1084,6,FALSE)</f>
        <v>4.19</v>
      </c>
      <c r="F967" t="str">
        <f>VLOOKUP(A967,Datos!$A$2:$H$1084,7,FALSE)</f>
        <v>0.00</v>
      </c>
      <c r="G967" t="str">
        <f>VLOOKUP(A967,Datos!$A$2:$H$1084,8,FALSE)</f>
        <v>0.01</v>
      </c>
    </row>
    <row r="968" spans="1:7" x14ac:dyDescent="0.3">
      <c r="A968" s="1">
        <v>61885</v>
      </c>
      <c r="B968" t="str">
        <f>VLOOKUP(A968,Datos!$A$2:$H$1084,3,FALSE)</f>
        <v>78.43</v>
      </c>
      <c r="C968" t="str">
        <f>VLOOKUP(A968,Datos!$A$2:$H$1084,4,FALSE)</f>
        <v>0.00</v>
      </c>
      <c r="D968" t="str">
        <f>VLOOKUP(A968,Datos!$A$2:$H$1084,5,FALSE)</f>
        <v>0.10</v>
      </c>
      <c r="E968" t="str">
        <f>VLOOKUP(A968,Datos!$A$2:$H$1084,6,FALSE)</f>
        <v>2.43</v>
      </c>
      <c r="F968" t="str">
        <f>VLOOKUP(A968,Datos!$A$2:$H$1084,7,FALSE)</f>
        <v>0.00</v>
      </c>
      <c r="G968" t="str">
        <f>VLOOKUP(A968,Datos!$A$2:$H$1084,8,FALSE)</f>
        <v>0.01</v>
      </c>
    </row>
    <row r="969" spans="1:7" x14ac:dyDescent="0.3">
      <c r="A969" s="1">
        <v>84504</v>
      </c>
      <c r="B969" t="str">
        <f>VLOOKUP(A969,Datos!$A$2:$H$1084,3,FALSE)</f>
        <v>71.01</v>
      </c>
      <c r="C969" t="str">
        <f>VLOOKUP(A969,Datos!$A$2:$H$1084,4,FALSE)</f>
        <v>0.00</v>
      </c>
      <c r="D969" t="str">
        <f>VLOOKUP(A969,Datos!$A$2:$H$1084,5,FALSE)</f>
        <v>2.43</v>
      </c>
      <c r="E969" t="str">
        <f>VLOOKUP(A969,Datos!$A$2:$H$1084,6,FALSE)</f>
        <v>53.06</v>
      </c>
      <c r="F969" t="str">
        <f>VLOOKUP(A969,Datos!$A$2:$H$1084,7,FALSE)</f>
        <v>0.00</v>
      </c>
      <c r="G969" t="str">
        <f>VLOOKUP(A969,Datos!$A$2:$H$1084,8,FALSE)</f>
        <v>0.19</v>
      </c>
    </row>
    <row r="970" spans="1:7" x14ac:dyDescent="0.3">
      <c r="A970" s="1">
        <v>272524</v>
      </c>
      <c r="B970" t="str">
        <f>VLOOKUP(A970,Datos!$A$2:$H$1084,3,FALSE)</f>
        <v>35.25</v>
      </c>
      <c r="C970" t="str">
        <f>VLOOKUP(A970,Datos!$A$2:$H$1084,4,FALSE)</f>
        <v>0.00</v>
      </c>
      <c r="D970" t="str">
        <f>VLOOKUP(A970,Datos!$A$2:$H$1084,5,FALSE)</f>
        <v>0.04</v>
      </c>
      <c r="E970" t="str">
        <f>VLOOKUP(A970,Datos!$A$2:$H$1084,6,FALSE)</f>
        <v>5.76</v>
      </c>
      <c r="F970" t="str">
        <f>VLOOKUP(A970,Datos!$A$2:$H$1084,7,FALSE)</f>
        <v>0.00</v>
      </c>
      <c r="G970" t="str">
        <f>VLOOKUP(A970,Datos!$A$2:$H$1084,8,FALSE)</f>
        <v>0.01</v>
      </c>
    </row>
    <row r="971" spans="1:7" x14ac:dyDescent="0.3">
      <c r="A971" s="1">
        <v>452129</v>
      </c>
      <c r="B971" t="str">
        <f>VLOOKUP(A971,Datos!$A$2:$H$1084,3,FALSE)</f>
        <v>42.34</v>
      </c>
      <c r="C971" t="str">
        <f>VLOOKUP(A971,Datos!$A$2:$H$1084,4,FALSE)</f>
        <v>0.00</v>
      </c>
      <c r="D971" t="str">
        <f>VLOOKUP(A971,Datos!$A$2:$H$1084,5,FALSE)</f>
        <v>0.20</v>
      </c>
      <c r="E971" t="str">
        <f>VLOOKUP(A971,Datos!$A$2:$H$1084,6,FALSE)</f>
        <v>7.97</v>
      </c>
      <c r="F971" t="str">
        <f>VLOOKUP(A971,Datos!$A$2:$H$1084,7,FALSE)</f>
        <v>0.00</v>
      </c>
      <c r="G971" t="str">
        <f>VLOOKUP(A971,Datos!$A$2:$H$1084,8,FALSE)</f>
        <v>0.02</v>
      </c>
    </row>
    <row r="972" spans="1:7" x14ac:dyDescent="0.3">
      <c r="A972" s="1">
        <v>61357</v>
      </c>
      <c r="B972" t="str">
        <f>VLOOKUP(A972,Datos!$A$2:$H$1084,3,FALSE)</f>
        <v>99.76</v>
      </c>
      <c r="C972" t="str">
        <f>VLOOKUP(A972,Datos!$A$2:$H$1084,4,FALSE)</f>
        <v>0.00</v>
      </c>
      <c r="D972" t="str">
        <f>VLOOKUP(A972,Datos!$A$2:$H$1084,5,FALSE)</f>
        <v>0.08</v>
      </c>
      <c r="E972" t="str">
        <f>VLOOKUP(A972,Datos!$A$2:$H$1084,6,FALSE)</f>
        <v>2.85</v>
      </c>
      <c r="F972" t="str">
        <f>VLOOKUP(A972,Datos!$A$2:$H$1084,7,FALSE)</f>
        <v>0.00</v>
      </c>
      <c r="G972" t="str">
        <f>VLOOKUP(A972,Datos!$A$2:$H$1084,8,FALSE)</f>
        <v>0.01</v>
      </c>
    </row>
    <row r="973" spans="1:7" x14ac:dyDescent="0.3">
      <c r="A973" s="1">
        <v>455444</v>
      </c>
      <c r="B973" t="str">
        <f>VLOOKUP(A973,Datos!$A$2:$H$1084,3,FALSE)</f>
        <v>68.49</v>
      </c>
      <c r="C973" t="str">
        <f>VLOOKUP(A973,Datos!$A$2:$H$1084,4,FALSE)</f>
        <v>0.00</v>
      </c>
      <c r="D973" t="str">
        <f>VLOOKUP(A973,Datos!$A$2:$H$1084,5,FALSE)</f>
        <v>0.23</v>
      </c>
      <c r="E973" t="str">
        <f>VLOOKUP(A973,Datos!$A$2:$H$1084,6,FALSE)</f>
        <v>18.51</v>
      </c>
      <c r="F973" t="str">
        <f>VLOOKUP(A973,Datos!$A$2:$H$1084,7,FALSE)</f>
        <v>0.00</v>
      </c>
      <c r="G973" t="str">
        <f>VLOOKUP(A973,Datos!$A$2:$H$1084,8,FALSE)</f>
        <v>0.03</v>
      </c>
    </row>
    <row r="974" spans="1:7" x14ac:dyDescent="0.3">
      <c r="A974" s="1">
        <v>154993</v>
      </c>
      <c r="B974" t="str">
        <f>VLOOKUP(A974,Datos!$A$2:$H$1084,3,FALSE)</f>
        <v>106.70</v>
      </c>
      <c r="C974" t="str">
        <f>VLOOKUP(A974,Datos!$A$2:$H$1084,4,FALSE)</f>
        <v>0.00</v>
      </c>
      <c r="D974" t="str">
        <f>VLOOKUP(A974,Datos!$A$2:$H$1084,5,FALSE)</f>
        <v>4.15</v>
      </c>
      <c r="E974" t="str">
        <f>VLOOKUP(A974,Datos!$A$2:$H$1084,6,FALSE)</f>
        <v>45.82</v>
      </c>
      <c r="F974" t="str">
        <f>VLOOKUP(A974,Datos!$A$2:$H$1084,7,FALSE)</f>
        <v>0.00</v>
      </c>
      <c r="G974" t="str">
        <f>VLOOKUP(A974,Datos!$A$2:$H$1084,8,FALSE)</f>
        <v>0.18</v>
      </c>
    </row>
    <row r="975" spans="1:7" x14ac:dyDescent="0.3">
      <c r="A975" s="1">
        <v>486469</v>
      </c>
      <c r="B975" t="str">
        <f>VLOOKUP(A975,Datos!$A$2:$H$1084,3,FALSE)</f>
        <v>20.99</v>
      </c>
      <c r="C975" t="str">
        <f>VLOOKUP(A975,Datos!$A$2:$H$1084,4,FALSE)</f>
        <v>0.00</v>
      </c>
      <c r="D975" t="str">
        <f>VLOOKUP(A975,Datos!$A$2:$H$1084,5,FALSE)</f>
        <v>0.07</v>
      </c>
      <c r="E975" t="str">
        <f>VLOOKUP(A975,Datos!$A$2:$H$1084,6,FALSE)</f>
        <v>1.01</v>
      </c>
      <c r="F975" t="str">
        <f>VLOOKUP(A975,Datos!$A$2:$H$1084,7,FALSE)</f>
        <v>0.00</v>
      </c>
      <c r="G975" t="str">
        <f>VLOOKUP(A975,Datos!$A$2:$H$1084,8,FALSE)</f>
        <v>0.01</v>
      </c>
    </row>
    <row r="976" spans="1:7" x14ac:dyDescent="0.3">
      <c r="A976" s="1">
        <v>486412</v>
      </c>
      <c r="B976" t="str">
        <f>VLOOKUP(A976,Datos!$A$2:$H$1084,3,FALSE)</f>
        <v>62.55</v>
      </c>
      <c r="C976" t="str">
        <f>VLOOKUP(A976,Datos!$A$2:$H$1084,4,FALSE)</f>
        <v>0.00</v>
      </c>
      <c r="D976" t="str">
        <f>VLOOKUP(A976,Datos!$A$2:$H$1084,5,FALSE)</f>
        <v>0.06</v>
      </c>
      <c r="E976" t="str">
        <f>VLOOKUP(A976,Datos!$A$2:$H$1084,6,FALSE)</f>
        <v>23.62</v>
      </c>
      <c r="F976" t="str">
        <f>VLOOKUP(A976,Datos!$A$2:$H$1084,7,FALSE)</f>
        <v>0.00</v>
      </c>
      <c r="G976" t="str">
        <f>VLOOKUP(A976,Datos!$A$2:$H$1084,8,FALSE)</f>
        <v>0.01</v>
      </c>
    </row>
    <row r="977" spans="1:7" x14ac:dyDescent="0.3">
      <c r="A977" s="1">
        <v>148983</v>
      </c>
      <c r="B977" t="str">
        <f>VLOOKUP(A977,Datos!$A$2:$H$1084,3,FALSE)</f>
        <v>93.71</v>
      </c>
      <c r="C977" t="str">
        <f>VLOOKUP(A977,Datos!$A$2:$H$1084,4,FALSE)</f>
        <v>0.01</v>
      </c>
      <c r="D977" t="str">
        <f>VLOOKUP(A977,Datos!$A$2:$H$1084,5,FALSE)</f>
        <v>2.22</v>
      </c>
      <c r="E977" t="str">
        <f>VLOOKUP(A977,Datos!$A$2:$H$1084,6,FALSE)</f>
        <v>13.47</v>
      </c>
      <c r="F977" t="str">
        <f>VLOOKUP(A977,Datos!$A$2:$H$1084,7,FALSE)</f>
        <v>0.01</v>
      </c>
      <c r="G977" t="str">
        <f>VLOOKUP(A977,Datos!$A$2:$H$1084,8,FALSE)</f>
        <v>0.26</v>
      </c>
    </row>
    <row r="978" spans="1:7" x14ac:dyDescent="0.3">
      <c r="A978" s="1">
        <v>55342</v>
      </c>
      <c r="B978" t="str">
        <f>VLOOKUP(A978,Datos!$A$2:$H$1084,3,FALSE)</f>
        <v>46.75</v>
      </c>
      <c r="C978" t="str">
        <f>VLOOKUP(A978,Datos!$A$2:$H$1084,4,FALSE)</f>
        <v>0.00</v>
      </c>
      <c r="D978" t="str">
        <f>VLOOKUP(A978,Datos!$A$2:$H$1084,5,FALSE)</f>
        <v>0.20</v>
      </c>
      <c r="E978" t="str">
        <f>VLOOKUP(A978,Datos!$A$2:$H$1084,6,FALSE)</f>
        <v>5.49</v>
      </c>
      <c r="F978" t="str">
        <f>VLOOKUP(A978,Datos!$A$2:$H$1084,7,FALSE)</f>
        <v>0.01</v>
      </c>
      <c r="G978" t="str">
        <f>VLOOKUP(A978,Datos!$A$2:$H$1084,8,FALSE)</f>
        <v>0.03</v>
      </c>
    </row>
    <row r="979" spans="1:7" x14ac:dyDescent="0.3">
      <c r="A979" s="1">
        <v>443111</v>
      </c>
      <c r="B979" t="str">
        <f>VLOOKUP(A979,Datos!$A$2:$H$1084,3,FALSE)</f>
        <v>51.50</v>
      </c>
      <c r="C979" t="str">
        <f>VLOOKUP(A979,Datos!$A$2:$H$1084,4,FALSE)</f>
        <v>0.00</v>
      </c>
      <c r="D979" t="str">
        <f>VLOOKUP(A979,Datos!$A$2:$H$1084,5,FALSE)</f>
        <v>0.22</v>
      </c>
      <c r="E979" t="str">
        <f>VLOOKUP(A979,Datos!$A$2:$H$1084,6,FALSE)</f>
        <v>5.74</v>
      </c>
      <c r="F979" t="str">
        <f>VLOOKUP(A979,Datos!$A$2:$H$1084,7,FALSE)</f>
        <v>0.00</v>
      </c>
      <c r="G979" t="str">
        <f>VLOOKUP(A979,Datos!$A$2:$H$1084,8,FALSE)</f>
        <v>0.02</v>
      </c>
    </row>
    <row r="980" spans="1:7" x14ac:dyDescent="0.3">
      <c r="A980" s="1">
        <v>534494</v>
      </c>
      <c r="B980" t="str">
        <f>VLOOKUP(A980,Datos!$A$2:$H$1084,3,FALSE)</f>
        <v>73.49</v>
      </c>
      <c r="C980" t="str">
        <f>VLOOKUP(A980,Datos!$A$2:$H$1084,4,FALSE)</f>
        <v>0.00</v>
      </c>
      <c r="D980" t="str">
        <f>VLOOKUP(A980,Datos!$A$2:$H$1084,5,FALSE)</f>
        <v>0.52</v>
      </c>
      <c r="E980" t="str">
        <f>VLOOKUP(A980,Datos!$A$2:$H$1084,6,FALSE)</f>
        <v>28.16</v>
      </c>
      <c r="F980" t="str">
        <f>VLOOKUP(A980,Datos!$A$2:$H$1084,7,FALSE)</f>
        <v>0.00</v>
      </c>
      <c r="G980" t="str">
        <f>VLOOKUP(A980,Datos!$A$2:$H$1084,8,FALSE)</f>
        <v>0.05</v>
      </c>
    </row>
    <row r="981" spans="1:7" x14ac:dyDescent="0.3">
      <c r="A981" s="1">
        <v>463420</v>
      </c>
      <c r="B981" t="str">
        <f>VLOOKUP(A981,Datos!$A$2:$H$1084,3,FALSE)</f>
        <v>40.86</v>
      </c>
      <c r="C981" t="str">
        <f>VLOOKUP(A981,Datos!$A$2:$H$1084,4,FALSE)</f>
        <v>0.00</v>
      </c>
      <c r="D981" t="str">
        <f>VLOOKUP(A981,Datos!$A$2:$H$1084,5,FALSE)</f>
        <v>0.37</v>
      </c>
      <c r="E981" t="str">
        <f>VLOOKUP(A981,Datos!$A$2:$H$1084,6,FALSE)</f>
        <v>2.30</v>
      </c>
      <c r="F981" t="str">
        <f>VLOOKUP(A981,Datos!$A$2:$H$1084,7,FALSE)</f>
        <v>0.00</v>
      </c>
      <c r="G981" t="str">
        <f>VLOOKUP(A981,Datos!$A$2:$H$1084,8,FALSE)</f>
        <v>0.03</v>
      </c>
    </row>
    <row r="982" spans="1:7" x14ac:dyDescent="0.3">
      <c r="A982" s="1">
        <v>149690</v>
      </c>
      <c r="B982" t="str">
        <f>VLOOKUP(A982,Datos!$A$2:$H$1084,3,FALSE)</f>
        <v>35.91</v>
      </c>
      <c r="C982" t="str">
        <f>VLOOKUP(A982,Datos!$A$2:$H$1084,4,FALSE)</f>
        <v>0.00</v>
      </c>
      <c r="D982" t="str">
        <f>VLOOKUP(A982,Datos!$A$2:$H$1084,5,FALSE)</f>
        <v>0.09</v>
      </c>
      <c r="E982" t="str">
        <f>VLOOKUP(A982,Datos!$A$2:$H$1084,6,FALSE)</f>
        <v>9.54</v>
      </c>
      <c r="F982" t="str">
        <f>VLOOKUP(A982,Datos!$A$2:$H$1084,7,FALSE)</f>
        <v>0.00</v>
      </c>
      <c r="G982" t="str">
        <f>VLOOKUP(A982,Datos!$A$2:$H$1084,8,FALSE)</f>
        <v>0.01</v>
      </c>
    </row>
    <row r="983" spans="1:7" x14ac:dyDescent="0.3">
      <c r="A983" s="1">
        <v>151862</v>
      </c>
      <c r="B983" t="str">
        <f>VLOOKUP(A983,Datos!$A$2:$H$1084,3,FALSE)</f>
        <v>69.39</v>
      </c>
      <c r="C983" t="str">
        <f>VLOOKUP(A983,Datos!$A$2:$H$1084,4,FALSE)</f>
        <v>0.01</v>
      </c>
      <c r="D983" t="str">
        <f>VLOOKUP(A983,Datos!$A$2:$H$1084,5,FALSE)</f>
        <v>1.73</v>
      </c>
      <c r="E983" t="str">
        <f>VLOOKUP(A983,Datos!$A$2:$H$1084,6,FALSE)</f>
        <v>7.46</v>
      </c>
      <c r="F983" t="str">
        <f>VLOOKUP(A983,Datos!$A$2:$H$1084,7,FALSE)</f>
        <v>0.01</v>
      </c>
      <c r="G983" t="str">
        <f>VLOOKUP(A983,Datos!$A$2:$H$1084,8,FALSE)</f>
        <v>0.13</v>
      </c>
    </row>
    <row r="984" spans="1:7" x14ac:dyDescent="0.3">
      <c r="A984" s="1">
        <v>63479</v>
      </c>
      <c r="B984" t="str">
        <f>VLOOKUP(A984,Datos!$A$2:$H$1084,3,FALSE)</f>
        <v>40.11</v>
      </c>
      <c r="C984" t="str">
        <f>VLOOKUP(A984,Datos!$A$2:$H$1084,4,FALSE)</f>
        <v>0.00</v>
      </c>
      <c r="D984" t="str">
        <f>VLOOKUP(A984,Datos!$A$2:$H$1084,5,FALSE)</f>
        <v>0.24</v>
      </c>
      <c r="E984" t="str">
        <f>VLOOKUP(A984,Datos!$A$2:$H$1084,6,FALSE)</f>
        <v>7.81</v>
      </c>
      <c r="F984" t="str">
        <f>VLOOKUP(A984,Datos!$A$2:$H$1084,7,FALSE)</f>
        <v>0.00</v>
      </c>
      <c r="G984" t="str">
        <f>VLOOKUP(A984,Datos!$A$2:$H$1084,8,FALSE)</f>
        <v>0.02</v>
      </c>
    </row>
    <row r="985" spans="1:7" x14ac:dyDescent="0.3">
      <c r="A985" s="1">
        <v>66736</v>
      </c>
      <c r="B985" t="str">
        <f>VLOOKUP(A985,Datos!$A$2:$H$1084,3,FALSE)</f>
        <v>132.15</v>
      </c>
      <c r="C985" t="str">
        <f>VLOOKUP(A985,Datos!$A$2:$H$1084,4,FALSE)</f>
        <v>0.00</v>
      </c>
      <c r="D985" t="str">
        <f>VLOOKUP(A985,Datos!$A$2:$H$1084,5,FALSE)</f>
        <v>0.51</v>
      </c>
      <c r="E985" t="str">
        <f>VLOOKUP(A985,Datos!$A$2:$H$1084,6,FALSE)</f>
        <v>8.59</v>
      </c>
      <c r="F985" t="str">
        <f>VLOOKUP(A985,Datos!$A$2:$H$1084,7,FALSE)</f>
        <v>0.00</v>
      </c>
      <c r="G985" t="str">
        <f>VLOOKUP(A985,Datos!$A$2:$H$1084,8,FALSE)</f>
        <v>0.04</v>
      </c>
    </row>
    <row r="986" spans="1:7" x14ac:dyDescent="0.3">
      <c r="A986" s="1">
        <v>456537</v>
      </c>
      <c r="B986" t="str">
        <f>VLOOKUP(A986,Datos!$A$2:$H$1084,3,FALSE)</f>
        <v>49.76</v>
      </c>
      <c r="C986" t="str">
        <f>VLOOKUP(A986,Datos!$A$2:$H$1084,4,FALSE)</f>
        <v>0.00</v>
      </c>
      <c r="D986" t="str">
        <f>VLOOKUP(A986,Datos!$A$2:$H$1084,5,FALSE)</f>
        <v>1.37</v>
      </c>
      <c r="E986" t="str">
        <f>VLOOKUP(A986,Datos!$A$2:$H$1084,6,FALSE)</f>
        <v>13.45</v>
      </c>
      <c r="F986" t="str">
        <f>VLOOKUP(A986,Datos!$A$2:$H$1084,7,FALSE)</f>
        <v>0.00</v>
      </c>
      <c r="G986" t="str">
        <f>VLOOKUP(A986,Datos!$A$2:$H$1084,8,FALSE)</f>
        <v>0.01</v>
      </c>
    </row>
    <row r="987" spans="1:7" x14ac:dyDescent="0.3">
      <c r="A987" s="1">
        <v>48974</v>
      </c>
      <c r="B987" t="str">
        <f>VLOOKUP(A987,Datos!$A$2:$H$1084,3,FALSE)</f>
        <v>48.89</v>
      </c>
      <c r="C987" t="str">
        <f>VLOOKUP(A987,Datos!$A$2:$H$1084,4,FALSE)</f>
        <v>0.00</v>
      </c>
      <c r="D987" t="str">
        <f>VLOOKUP(A987,Datos!$A$2:$H$1084,5,FALSE)</f>
        <v>0.28</v>
      </c>
      <c r="E987" t="str">
        <f>VLOOKUP(A987,Datos!$A$2:$H$1084,6,FALSE)</f>
        <v>11.10</v>
      </c>
      <c r="F987" t="str">
        <f>VLOOKUP(A987,Datos!$A$2:$H$1084,7,FALSE)</f>
        <v>0.00</v>
      </c>
      <c r="G987" t="str">
        <f>VLOOKUP(A987,Datos!$A$2:$H$1084,8,FALSE)</f>
        <v>0.04</v>
      </c>
    </row>
    <row r="988" spans="1:7" x14ac:dyDescent="0.3">
      <c r="A988" s="1">
        <v>793053</v>
      </c>
      <c r="B988" t="str">
        <f>VLOOKUP(A988,Datos!$A$2:$H$1084,3,FALSE)</f>
        <v>87.56</v>
      </c>
      <c r="C988" t="str">
        <f>VLOOKUP(A988,Datos!$A$2:$H$1084,4,FALSE)</f>
        <v>0.00</v>
      </c>
      <c r="D988" t="str">
        <f>VLOOKUP(A988,Datos!$A$2:$H$1084,5,FALSE)</f>
        <v>0.27</v>
      </c>
      <c r="E988" t="str">
        <f>VLOOKUP(A988,Datos!$A$2:$H$1084,6,FALSE)</f>
        <v>20.41</v>
      </c>
      <c r="F988" t="str">
        <f>VLOOKUP(A988,Datos!$A$2:$H$1084,7,FALSE)</f>
        <v>0.00</v>
      </c>
      <c r="G988" t="str">
        <f>VLOOKUP(A988,Datos!$A$2:$H$1084,8,FALSE)</f>
        <v>0.05</v>
      </c>
    </row>
    <row r="989" spans="1:7" x14ac:dyDescent="0.3">
      <c r="A989" s="1">
        <v>148997</v>
      </c>
      <c r="B989" t="str">
        <f>VLOOKUP(A989,Datos!$A$2:$H$1084,3,FALSE)</f>
        <v>99.17</v>
      </c>
      <c r="C989" t="str">
        <f>VLOOKUP(A989,Datos!$A$2:$H$1084,4,FALSE)</f>
        <v>0.00</v>
      </c>
      <c r="D989" t="str">
        <f>VLOOKUP(A989,Datos!$A$2:$H$1084,5,FALSE)</f>
        <v>0.31</v>
      </c>
      <c r="E989" t="str">
        <f>VLOOKUP(A989,Datos!$A$2:$H$1084,6,FALSE)</f>
        <v>18.06</v>
      </c>
      <c r="F989" t="str">
        <f>VLOOKUP(A989,Datos!$A$2:$H$1084,7,FALSE)</f>
        <v>0.00</v>
      </c>
      <c r="G989" t="str">
        <f>VLOOKUP(A989,Datos!$A$2:$H$1084,8,FALSE)</f>
        <v>0.04</v>
      </c>
    </row>
    <row r="990" spans="1:7" x14ac:dyDescent="0.3">
      <c r="A990" s="1">
        <v>468012</v>
      </c>
      <c r="B990" t="str">
        <f>VLOOKUP(A990,Datos!$A$2:$H$1084,3,FALSE)</f>
        <v>50.67</v>
      </c>
      <c r="C990" t="str">
        <f>VLOOKUP(A990,Datos!$A$2:$H$1084,4,FALSE)</f>
        <v>0.00</v>
      </c>
      <c r="D990" t="str">
        <f>VLOOKUP(A990,Datos!$A$2:$H$1084,5,FALSE)</f>
        <v>0.25</v>
      </c>
      <c r="E990" t="str">
        <f>VLOOKUP(A990,Datos!$A$2:$H$1084,6,FALSE)</f>
        <v>19.84</v>
      </c>
      <c r="F990" t="str">
        <f>VLOOKUP(A990,Datos!$A$2:$H$1084,7,FALSE)</f>
        <v>0.00</v>
      </c>
      <c r="G990" t="str">
        <f>VLOOKUP(A990,Datos!$A$2:$H$1084,8,FALSE)</f>
        <v>0.04</v>
      </c>
    </row>
    <row r="991" spans="1:7" x14ac:dyDescent="0.3">
      <c r="A991" s="1">
        <v>60602</v>
      </c>
      <c r="B991" t="str">
        <f>VLOOKUP(A991,Datos!$A$2:$H$1084,3,FALSE)</f>
        <v>39.60</v>
      </c>
      <c r="C991" t="str">
        <f>VLOOKUP(A991,Datos!$A$2:$H$1084,4,FALSE)</f>
        <v>0.01</v>
      </c>
      <c r="D991" t="str">
        <f>VLOOKUP(A991,Datos!$A$2:$H$1084,5,FALSE)</f>
        <v>0.16</v>
      </c>
      <c r="E991" t="str">
        <f>VLOOKUP(A991,Datos!$A$2:$H$1084,6,FALSE)</f>
        <v>5.40</v>
      </c>
      <c r="F991" t="str">
        <f>VLOOKUP(A991,Datos!$A$2:$H$1084,7,FALSE)</f>
        <v>0.01</v>
      </c>
      <c r="G991" t="str">
        <f>VLOOKUP(A991,Datos!$A$2:$H$1084,8,FALSE)</f>
        <v>0.02</v>
      </c>
    </row>
    <row r="992" spans="1:7" x14ac:dyDescent="0.3">
      <c r="A992" s="1">
        <v>446671</v>
      </c>
      <c r="B992" t="str">
        <f>VLOOKUP(A992,Datos!$A$2:$H$1084,3,FALSE)</f>
        <v>42.57</v>
      </c>
      <c r="C992" t="str">
        <f>VLOOKUP(A992,Datos!$A$2:$H$1084,4,FALSE)</f>
        <v>0.00</v>
      </c>
      <c r="D992" t="str">
        <f>VLOOKUP(A992,Datos!$A$2:$H$1084,5,FALSE)</f>
        <v>1.20</v>
      </c>
      <c r="E992" t="str">
        <f>VLOOKUP(A992,Datos!$A$2:$H$1084,6,FALSE)</f>
        <v>8.03</v>
      </c>
      <c r="F992" t="str">
        <f>VLOOKUP(A992,Datos!$A$2:$H$1084,7,FALSE)</f>
        <v>0.01</v>
      </c>
      <c r="G992" t="str">
        <f>VLOOKUP(A992,Datos!$A$2:$H$1084,8,FALSE)</f>
        <v>0.09</v>
      </c>
    </row>
    <row r="993" spans="1:7" x14ac:dyDescent="0.3">
      <c r="A993" s="1">
        <v>52409</v>
      </c>
      <c r="B993" t="str">
        <f>VLOOKUP(A993,Datos!$A$2:$H$1084,3,FALSE)</f>
        <v>19.35</v>
      </c>
      <c r="C993" t="str">
        <f>VLOOKUP(A993,Datos!$A$2:$H$1084,4,FALSE)</f>
        <v>0.00</v>
      </c>
      <c r="D993" t="str">
        <f>VLOOKUP(A993,Datos!$A$2:$H$1084,5,FALSE)</f>
        <v>0.10</v>
      </c>
      <c r="E993" t="str">
        <f>VLOOKUP(A993,Datos!$A$2:$H$1084,6,FALSE)</f>
        <v>13.19</v>
      </c>
      <c r="F993" t="str">
        <f>VLOOKUP(A993,Datos!$A$2:$H$1084,7,FALSE)</f>
        <v>0.00</v>
      </c>
      <c r="G993" t="str">
        <f>VLOOKUP(A993,Datos!$A$2:$H$1084,8,FALSE)</f>
        <v>0.02</v>
      </c>
    </row>
    <row r="994" spans="1:7" x14ac:dyDescent="0.3">
      <c r="A994" s="1">
        <v>170342</v>
      </c>
      <c r="B994" t="str">
        <f>VLOOKUP(A994,Datos!$A$2:$H$1084,3,FALSE)</f>
        <v>18.10</v>
      </c>
      <c r="C994" t="str">
        <f>VLOOKUP(A994,Datos!$A$2:$H$1084,4,FALSE)</f>
        <v>0.00</v>
      </c>
      <c r="D994" t="str">
        <f>VLOOKUP(A994,Datos!$A$2:$H$1084,5,FALSE)</f>
        <v>0.01</v>
      </c>
      <c r="E994" t="str">
        <f>VLOOKUP(A994,Datos!$A$2:$H$1084,6,FALSE)</f>
        <v>4.85</v>
      </c>
      <c r="F994" t="str">
        <f>VLOOKUP(A994,Datos!$A$2:$H$1084,7,FALSE)</f>
        <v>0.00</v>
      </c>
      <c r="G994" t="str">
        <f>VLOOKUP(A994,Datos!$A$2:$H$1084,8,FALSE)</f>
        <v>0.01</v>
      </c>
    </row>
    <row r="995" spans="1:7" x14ac:dyDescent="0.3">
      <c r="A995" s="1">
        <v>65416</v>
      </c>
      <c r="B995" t="str">
        <f>VLOOKUP(A995,Datos!$A$2:$H$1084,3,FALSE)</f>
        <v>53.30</v>
      </c>
      <c r="C995" t="str">
        <f>VLOOKUP(A995,Datos!$A$2:$H$1084,4,FALSE)</f>
        <v>0.01</v>
      </c>
      <c r="D995" t="str">
        <f>VLOOKUP(A995,Datos!$A$2:$H$1084,5,FALSE)</f>
        <v>0.08</v>
      </c>
      <c r="E995" t="str">
        <f>VLOOKUP(A995,Datos!$A$2:$H$1084,6,FALSE)</f>
        <v>17.45</v>
      </c>
      <c r="F995" t="str">
        <f>VLOOKUP(A995,Datos!$A$2:$H$1084,7,FALSE)</f>
        <v>0.01</v>
      </c>
      <c r="G995" t="str">
        <f>VLOOKUP(A995,Datos!$A$2:$H$1084,8,FALSE)</f>
        <v>0.02</v>
      </c>
    </row>
    <row r="996" spans="1:7" x14ac:dyDescent="0.3">
      <c r="A996" s="1">
        <v>148105</v>
      </c>
      <c r="B996" t="str">
        <f>VLOOKUP(A996,Datos!$A$2:$H$1084,3,FALSE)</f>
        <v>16.04</v>
      </c>
      <c r="C996" t="str">
        <f>VLOOKUP(A996,Datos!$A$2:$H$1084,4,FALSE)</f>
        <v>0.01</v>
      </c>
      <c r="D996" t="str">
        <f>VLOOKUP(A996,Datos!$A$2:$H$1084,5,FALSE)</f>
        <v>0.11</v>
      </c>
      <c r="E996" t="str">
        <f>VLOOKUP(A996,Datos!$A$2:$H$1084,6,FALSE)</f>
        <v>0.75</v>
      </c>
      <c r="F996" t="str">
        <f>VLOOKUP(A996,Datos!$A$2:$H$1084,7,FALSE)</f>
        <v>0.01</v>
      </c>
      <c r="G996" t="str">
        <f>VLOOKUP(A996,Datos!$A$2:$H$1084,8,FALSE)</f>
        <v>0.01</v>
      </c>
    </row>
    <row r="997" spans="1:7" x14ac:dyDescent="0.3">
      <c r="A997" s="1">
        <v>61871</v>
      </c>
      <c r="B997" t="str">
        <f>VLOOKUP(A997,Datos!$A$2:$H$1084,3,FALSE)</f>
        <v>43.89</v>
      </c>
      <c r="C997" t="str">
        <f>VLOOKUP(A997,Datos!$A$2:$H$1084,4,FALSE)</f>
        <v>0.00</v>
      </c>
      <c r="D997" t="str">
        <f>VLOOKUP(A997,Datos!$A$2:$H$1084,5,FALSE)</f>
        <v>0.16</v>
      </c>
      <c r="E997" t="str">
        <f>VLOOKUP(A997,Datos!$A$2:$H$1084,6,FALSE)</f>
        <v>6.89</v>
      </c>
      <c r="F997" t="str">
        <f>VLOOKUP(A997,Datos!$A$2:$H$1084,7,FALSE)</f>
        <v>0.00</v>
      </c>
      <c r="G997" t="str">
        <f>VLOOKUP(A997,Datos!$A$2:$H$1084,8,FALSE)</f>
        <v>0.02</v>
      </c>
    </row>
    <row r="998" spans="1:7" x14ac:dyDescent="0.3">
      <c r="A998" s="1">
        <v>463302</v>
      </c>
      <c r="B998" t="str">
        <f>VLOOKUP(A998,Datos!$A$2:$H$1084,3,FALSE)</f>
        <v>66.76</v>
      </c>
      <c r="C998" t="str">
        <f>VLOOKUP(A998,Datos!$A$2:$H$1084,4,FALSE)</f>
        <v>0.00</v>
      </c>
      <c r="D998" t="str">
        <f>VLOOKUP(A998,Datos!$A$2:$H$1084,5,FALSE)</f>
        <v>0.14</v>
      </c>
      <c r="E998" t="str">
        <f>VLOOKUP(A998,Datos!$A$2:$H$1084,6,FALSE)</f>
        <v>37.20</v>
      </c>
      <c r="F998" t="str">
        <f>VLOOKUP(A998,Datos!$A$2:$H$1084,7,FALSE)</f>
        <v>0.00</v>
      </c>
      <c r="G998" t="str">
        <f>VLOOKUP(A998,Datos!$A$2:$H$1084,8,FALSE)</f>
        <v>0.03</v>
      </c>
    </row>
    <row r="999" spans="1:7" x14ac:dyDescent="0.3">
      <c r="A999" s="1">
        <v>60584</v>
      </c>
      <c r="B999" t="str">
        <f>VLOOKUP(A999,Datos!$A$2:$H$1084,3,FALSE)</f>
        <v>27.75</v>
      </c>
      <c r="C999" t="str">
        <f>VLOOKUP(A999,Datos!$A$2:$H$1084,4,FALSE)</f>
        <v>0.01</v>
      </c>
      <c r="D999" t="str">
        <f>VLOOKUP(A999,Datos!$A$2:$H$1084,5,FALSE)</f>
        <v>0.05</v>
      </c>
      <c r="E999" t="str">
        <f>VLOOKUP(A999,Datos!$A$2:$H$1084,6,FALSE)</f>
        <v>10.68</v>
      </c>
      <c r="F999" t="str">
        <f>VLOOKUP(A999,Datos!$A$2:$H$1084,7,FALSE)</f>
        <v>0.01</v>
      </c>
      <c r="G999" t="str">
        <f>VLOOKUP(A999,Datos!$A$2:$H$1084,8,FALSE)</f>
        <v>0.03</v>
      </c>
    </row>
    <row r="1000" spans="1:7" x14ac:dyDescent="0.3">
      <c r="A1000" s="1">
        <v>62413</v>
      </c>
      <c r="B1000" t="str">
        <f>VLOOKUP(A1000,Datos!$A$2:$H$1084,3,FALSE)</f>
        <v>39.64</v>
      </c>
      <c r="C1000" t="str">
        <f>VLOOKUP(A1000,Datos!$A$2:$H$1084,4,FALSE)</f>
        <v>0.00</v>
      </c>
      <c r="D1000" t="str">
        <f>VLOOKUP(A1000,Datos!$A$2:$H$1084,5,FALSE)</f>
        <v>0.14</v>
      </c>
      <c r="E1000" t="str">
        <f>VLOOKUP(A1000,Datos!$A$2:$H$1084,6,FALSE)</f>
        <v>5.82</v>
      </c>
      <c r="F1000" t="str">
        <f>VLOOKUP(A1000,Datos!$A$2:$H$1084,7,FALSE)</f>
        <v>0.00</v>
      </c>
      <c r="G1000" t="str">
        <f>VLOOKUP(A1000,Datos!$A$2:$H$1084,8,FALSE)</f>
        <v>0.02</v>
      </c>
    </row>
    <row r="1001" spans="1:7" x14ac:dyDescent="0.3">
      <c r="A1001" s="1">
        <v>67156</v>
      </c>
      <c r="B1001" t="str">
        <f>VLOOKUP(A1001,Datos!$A$2:$H$1084,3,FALSE)</f>
        <v>22.92</v>
      </c>
      <c r="C1001" t="str">
        <f>VLOOKUP(A1001,Datos!$A$2:$H$1084,4,FALSE)</f>
        <v>0.00</v>
      </c>
      <c r="D1001" t="str">
        <f>VLOOKUP(A1001,Datos!$A$2:$H$1084,5,FALSE)</f>
        <v>0.06</v>
      </c>
      <c r="E1001" t="str">
        <f>VLOOKUP(A1001,Datos!$A$2:$H$1084,6,FALSE)</f>
        <v>2.74</v>
      </c>
      <c r="F1001" t="str">
        <f>VLOOKUP(A1001,Datos!$A$2:$H$1084,7,FALSE)</f>
        <v>0.00</v>
      </c>
      <c r="G1001" t="str">
        <f>VLOOKUP(A1001,Datos!$A$2:$H$1084,8,FALSE)</f>
        <v>0.01</v>
      </c>
    </row>
    <row r="1002" spans="1:7" x14ac:dyDescent="0.3">
      <c r="A1002" s="1">
        <v>87791</v>
      </c>
      <c r="B1002" t="str">
        <f>VLOOKUP(A1002,Datos!$A$2:$H$1084,3,FALSE)</f>
        <v>24.92</v>
      </c>
      <c r="C1002" t="str">
        <f>VLOOKUP(A1002,Datos!$A$2:$H$1084,4,FALSE)</f>
        <v>0.00</v>
      </c>
      <c r="D1002" t="str">
        <f>VLOOKUP(A1002,Datos!$A$2:$H$1084,5,FALSE)</f>
        <v>0.01</v>
      </c>
      <c r="E1002" t="str">
        <f>VLOOKUP(A1002,Datos!$A$2:$H$1084,6,FALSE)</f>
        <v>4.90</v>
      </c>
      <c r="F1002" t="str">
        <f>VLOOKUP(A1002,Datos!$A$2:$H$1084,7,FALSE)</f>
        <v>0.00</v>
      </c>
      <c r="G1002" t="str">
        <f>VLOOKUP(A1002,Datos!$A$2:$H$1084,8,FALSE)</f>
        <v>0.00</v>
      </c>
    </row>
    <row r="1003" spans="1:7" x14ac:dyDescent="0.3">
      <c r="A1003" s="1">
        <v>455477</v>
      </c>
      <c r="B1003" t="str">
        <f>VLOOKUP(A1003,Datos!$A$2:$H$1084,3,FALSE)</f>
        <v>50.38</v>
      </c>
      <c r="C1003" t="str">
        <f>VLOOKUP(A1003,Datos!$A$2:$H$1084,4,FALSE)</f>
        <v>0.00</v>
      </c>
      <c r="D1003" t="str">
        <f>VLOOKUP(A1003,Datos!$A$2:$H$1084,5,FALSE)</f>
        <v>0.81</v>
      </c>
      <c r="E1003" t="str">
        <f>VLOOKUP(A1003,Datos!$A$2:$H$1084,6,FALSE)</f>
        <v>13.73</v>
      </c>
      <c r="F1003" t="str">
        <f>VLOOKUP(A1003,Datos!$A$2:$H$1084,7,FALSE)</f>
        <v>0.00</v>
      </c>
      <c r="G1003" t="str">
        <f>VLOOKUP(A1003,Datos!$A$2:$H$1084,8,FALSE)</f>
        <v>0.09</v>
      </c>
    </row>
    <row r="1004" spans="1:7" x14ac:dyDescent="0.3">
      <c r="A1004" s="1">
        <v>84486</v>
      </c>
      <c r="B1004" t="str">
        <f>VLOOKUP(A1004,Datos!$A$2:$H$1084,3,FALSE)</f>
        <v>115.78</v>
      </c>
      <c r="C1004" t="str">
        <f>VLOOKUP(A1004,Datos!$A$2:$H$1084,4,FALSE)</f>
        <v>0.00</v>
      </c>
      <c r="D1004" t="str">
        <f>VLOOKUP(A1004,Datos!$A$2:$H$1084,5,FALSE)</f>
        <v>4.83</v>
      </c>
      <c r="E1004" t="str">
        <f>VLOOKUP(A1004,Datos!$A$2:$H$1084,6,FALSE)</f>
        <v>26.73</v>
      </c>
      <c r="F1004" t="str">
        <f>VLOOKUP(A1004,Datos!$A$2:$H$1084,7,FALSE)</f>
        <v>0.00</v>
      </c>
      <c r="G1004" t="str">
        <f>VLOOKUP(A1004,Datos!$A$2:$H$1084,8,FALSE)</f>
        <v>0.50</v>
      </c>
    </row>
    <row r="1005" spans="1:7" x14ac:dyDescent="0.3">
      <c r="A1005" s="1">
        <v>465278</v>
      </c>
      <c r="B1005" t="str">
        <f>VLOOKUP(A1005,Datos!$A$2:$H$1084,3,FALSE)</f>
        <v>64.21</v>
      </c>
      <c r="C1005" t="str">
        <f>VLOOKUP(A1005,Datos!$A$2:$H$1084,4,FALSE)</f>
        <v>0.00</v>
      </c>
      <c r="D1005" t="str">
        <f>VLOOKUP(A1005,Datos!$A$2:$H$1084,5,FALSE)</f>
        <v>0.95</v>
      </c>
      <c r="E1005" t="str">
        <f>VLOOKUP(A1005,Datos!$A$2:$H$1084,6,FALSE)</f>
        <v>90.97</v>
      </c>
      <c r="F1005" t="str">
        <f>VLOOKUP(A1005,Datos!$A$2:$H$1084,7,FALSE)</f>
        <v>0.00</v>
      </c>
      <c r="G1005" t="str">
        <f>VLOOKUP(A1005,Datos!$A$2:$H$1084,8,FALSE)</f>
        <v>0.12</v>
      </c>
    </row>
    <row r="1006" spans="1:7" x14ac:dyDescent="0.3">
      <c r="A1006" s="1">
        <v>456518</v>
      </c>
      <c r="B1006" t="str">
        <f>VLOOKUP(A1006,Datos!$A$2:$H$1084,3,FALSE)</f>
        <v>32.00</v>
      </c>
      <c r="C1006" t="str">
        <f>VLOOKUP(A1006,Datos!$A$2:$H$1084,4,FALSE)</f>
        <v>0.00</v>
      </c>
      <c r="D1006" t="str">
        <f>VLOOKUP(A1006,Datos!$A$2:$H$1084,5,FALSE)</f>
        <v>0.51</v>
      </c>
      <c r="E1006" t="str">
        <f>VLOOKUP(A1006,Datos!$A$2:$H$1084,6,FALSE)</f>
        <v>6.99</v>
      </c>
      <c r="F1006" t="str">
        <f>VLOOKUP(A1006,Datos!$A$2:$H$1084,7,FALSE)</f>
        <v>0.00</v>
      </c>
      <c r="G1006" t="str">
        <f>VLOOKUP(A1006,Datos!$A$2:$H$1084,8,FALSE)</f>
        <v>0.04</v>
      </c>
    </row>
    <row r="1007" spans="1:7" x14ac:dyDescent="0.3">
      <c r="A1007" s="1">
        <v>160729</v>
      </c>
      <c r="B1007" t="str">
        <f>VLOOKUP(A1007,Datos!$A$2:$H$1084,3,FALSE)</f>
        <v>22.93</v>
      </c>
      <c r="C1007" t="str">
        <f>VLOOKUP(A1007,Datos!$A$2:$H$1084,4,FALSE)</f>
        <v>0.00</v>
      </c>
      <c r="D1007" t="str">
        <f>VLOOKUP(A1007,Datos!$A$2:$H$1084,5,FALSE)</f>
        <v>0.32</v>
      </c>
      <c r="E1007" t="str">
        <f>VLOOKUP(A1007,Datos!$A$2:$H$1084,6,FALSE)</f>
        <v>13.88</v>
      </c>
      <c r="F1007" t="str">
        <f>VLOOKUP(A1007,Datos!$A$2:$H$1084,7,FALSE)</f>
        <v>0.00</v>
      </c>
      <c r="G1007" t="str">
        <f>VLOOKUP(A1007,Datos!$A$2:$H$1084,8,FALSE)</f>
        <v>0.05</v>
      </c>
    </row>
    <row r="1008" spans="1:7" x14ac:dyDescent="0.3">
      <c r="A1008" s="1">
        <v>700761</v>
      </c>
      <c r="B1008" t="str">
        <f>VLOOKUP(A1008,Datos!$A$2:$H$1084,3,FALSE)</f>
        <v>21.71</v>
      </c>
      <c r="C1008" t="str">
        <f>VLOOKUP(A1008,Datos!$A$2:$H$1084,4,FALSE)</f>
        <v>0.00</v>
      </c>
      <c r="D1008" t="str">
        <f>VLOOKUP(A1008,Datos!$A$2:$H$1084,5,FALSE)</f>
        <v>0.07</v>
      </c>
      <c r="E1008" t="str">
        <f>VLOOKUP(A1008,Datos!$A$2:$H$1084,6,FALSE)</f>
        <v>7.07</v>
      </c>
      <c r="F1008" t="str">
        <f>VLOOKUP(A1008,Datos!$A$2:$H$1084,7,FALSE)</f>
        <v>0.00</v>
      </c>
      <c r="G1008" t="str">
        <f>VLOOKUP(A1008,Datos!$A$2:$H$1084,8,FALSE)</f>
        <v>0.02</v>
      </c>
    </row>
    <row r="1009" spans="1:7" x14ac:dyDescent="0.3">
      <c r="A1009" s="1">
        <v>512604</v>
      </c>
      <c r="B1009" t="str">
        <f>VLOOKUP(A1009,Datos!$A$2:$H$1084,3,FALSE)</f>
        <v>81.94</v>
      </c>
      <c r="C1009" t="str">
        <f>VLOOKUP(A1009,Datos!$A$2:$H$1084,4,FALSE)</f>
        <v>0.00</v>
      </c>
      <c r="D1009" t="str">
        <f>VLOOKUP(A1009,Datos!$A$2:$H$1084,5,FALSE)</f>
        <v>0.05</v>
      </c>
      <c r="E1009" t="str">
        <f>VLOOKUP(A1009,Datos!$A$2:$H$1084,6,FALSE)</f>
        <v>1.31</v>
      </c>
      <c r="F1009" t="str">
        <f>VLOOKUP(A1009,Datos!$A$2:$H$1084,7,FALSE)</f>
        <v>0.00</v>
      </c>
      <c r="G1009" t="str">
        <f>VLOOKUP(A1009,Datos!$A$2:$H$1084,8,FALSE)</f>
        <v>0.01</v>
      </c>
    </row>
    <row r="1010" spans="1:7" x14ac:dyDescent="0.3">
      <c r="A1010" s="1">
        <v>454557</v>
      </c>
      <c r="B1010" t="str">
        <f>VLOOKUP(A1010,Datos!$A$2:$H$1084,3,FALSE)</f>
        <v>32.81</v>
      </c>
      <c r="C1010" t="str">
        <f>VLOOKUP(A1010,Datos!$A$2:$H$1084,4,FALSE)</f>
        <v>0.00</v>
      </c>
      <c r="D1010" t="str">
        <f>VLOOKUP(A1010,Datos!$A$2:$H$1084,5,FALSE)</f>
        <v>0.59</v>
      </c>
      <c r="E1010" t="str">
        <f>VLOOKUP(A1010,Datos!$A$2:$H$1084,6,FALSE)</f>
        <v>9.98</v>
      </c>
      <c r="F1010" t="str">
        <f>VLOOKUP(A1010,Datos!$A$2:$H$1084,7,FALSE)</f>
        <v>0.00</v>
      </c>
      <c r="G1010" t="str">
        <f>VLOOKUP(A1010,Datos!$A$2:$H$1084,8,FALSE)</f>
        <v>0.08</v>
      </c>
    </row>
    <row r="1011" spans="1:7" x14ac:dyDescent="0.3">
      <c r="A1011" s="1">
        <v>447270</v>
      </c>
      <c r="B1011" t="str">
        <f>VLOOKUP(A1011,Datos!$A$2:$H$1084,3,FALSE)</f>
        <v>51.24</v>
      </c>
      <c r="C1011" t="str">
        <f>VLOOKUP(A1011,Datos!$A$2:$H$1084,4,FALSE)</f>
        <v>0.00</v>
      </c>
      <c r="D1011" t="str">
        <f>VLOOKUP(A1011,Datos!$A$2:$H$1084,5,FALSE)</f>
        <v>0.55</v>
      </c>
      <c r="E1011" t="str">
        <f>VLOOKUP(A1011,Datos!$A$2:$H$1084,6,FALSE)</f>
        <v>47.24</v>
      </c>
      <c r="F1011" t="str">
        <f>VLOOKUP(A1011,Datos!$A$2:$H$1084,7,FALSE)</f>
        <v>0.00</v>
      </c>
      <c r="G1011" t="str">
        <f>VLOOKUP(A1011,Datos!$A$2:$H$1084,8,FALSE)</f>
        <v>0.13</v>
      </c>
    </row>
    <row r="1012" spans="1:7" x14ac:dyDescent="0.3">
      <c r="A1012" s="1">
        <v>454675</v>
      </c>
      <c r="B1012" t="str">
        <f>VLOOKUP(A1012,Datos!$A$2:$H$1084,3,FALSE)</f>
        <v>90.86</v>
      </c>
      <c r="C1012" t="str">
        <f>VLOOKUP(A1012,Datos!$A$2:$H$1084,4,FALSE)</f>
        <v>0.00</v>
      </c>
      <c r="D1012" t="str">
        <f>VLOOKUP(A1012,Datos!$A$2:$H$1084,5,FALSE)</f>
        <v>0.89</v>
      </c>
      <c r="E1012" t="str">
        <f>VLOOKUP(A1012,Datos!$A$2:$H$1084,6,FALSE)</f>
        <v>29.31</v>
      </c>
      <c r="F1012" t="str">
        <f>VLOOKUP(A1012,Datos!$A$2:$H$1084,7,FALSE)</f>
        <v>0.00</v>
      </c>
      <c r="G1012" t="str">
        <f>VLOOKUP(A1012,Datos!$A$2:$H$1084,8,FALSE)</f>
        <v>0.09</v>
      </c>
    </row>
    <row r="1013" spans="1:7" x14ac:dyDescent="0.3">
      <c r="A1013" s="1">
        <v>52169</v>
      </c>
      <c r="B1013" t="str">
        <f>VLOOKUP(A1013,Datos!$A$2:$H$1084,3,FALSE)</f>
        <v>52.35</v>
      </c>
      <c r="C1013" t="str">
        <f>VLOOKUP(A1013,Datos!$A$2:$H$1084,4,FALSE)</f>
        <v>0.00</v>
      </c>
      <c r="D1013" t="str">
        <f>VLOOKUP(A1013,Datos!$A$2:$H$1084,5,FALSE)</f>
        <v>0.22</v>
      </c>
      <c r="E1013" t="str">
        <f>VLOOKUP(A1013,Datos!$A$2:$H$1084,6,FALSE)</f>
        <v>9.16</v>
      </c>
      <c r="F1013" t="str">
        <f>VLOOKUP(A1013,Datos!$A$2:$H$1084,7,FALSE)</f>
        <v>0.00</v>
      </c>
      <c r="G1013" t="str">
        <f>VLOOKUP(A1013,Datos!$A$2:$H$1084,8,FALSE)</f>
        <v>0.02</v>
      </c>
    </row>
    <row r="1014" spans="1:7" x14ac:dyDescent="0.3">
      <c r="A1014" s="1">
        <v>454213</v>
      </c>
      <c r="B1014" t="str">
        <f>VLOOKUP(A1014,Datos!$A$2:$H$1084,3,FALSE)</f>
        <v>15.05</v>
      </c>
      <c r="C1014" t="str">
        <f>VLOOKUP(A1014,Datos!$A$2:$H$1084,4,FALSE)</f>
        <v>0.00</v>
      </c>
      <c r="D1014" t="str">
        <f>VLOOKUP(A1014,Datos!$A$2:$H$1084,5,FALSE)</f>
        <v>0.01</v>
      </c>
      <c r="E1014" t="str">
        <f>VLOOKUP(A1014,Datos!$A$2:$H$1084,6,FALSE)</f>
        <v>1.45</v>
      </c>
      <c r="F1014" t="str">
        <f>VLOOKUP(A1014,Datos!$A$2:$H$1084,7,FALSE)</f>
        <v>0.00</v>
      </c>
      <c r="G1014" t="str">
        <f>VLOOKUP(A1014,Datos!$A$2:$H$1084,8,FALSE)</f>
        <v>0.00</v>
      </c>
    </row>
    <row r="1015" spans="1:7" x14ac:dyDescent="0.3">
      <c r="A1015" s="1">
        <v>48926</v>
      </c>
      <c r="B1015" t="str">
        <f>VLOOKUP(A1015,Datos!$A$2:$H$1084,3,FALSE)</f>
        <v>58.13</v>
      </c>
      <c r="C1015" t="str">
        <f>VLOOKUP(A1015,Datos!$A$2:$H$1084,4,FALSE)</f>
        <v>0.00</v>
      </c>
      <c r="D1015" t="str">
        <f>VLOOKUP(A1015,Datos!$A$2:$H$1084,5,FALSE)</f>
        <v>0.52</v>
      </c>
      <c r="E1015" t="str">
        <f>VLOOKUP(A1015,Datos!$A$2:$H$1084,6,FALSE)</f>
        <v>43.45</v>
      </c>
      <c r="F1015" t="str">
        <f>VLOOKUP(A1015,Datos!$A$2:$H$1084,7,FALSE)</f>
        <v>0.00</v>
      </c>
      <c r="G1015" t="str">
        <f>VLOOKUP(A1015,Datos!$A$2:$H$1084,8,FALSE)</f>
        <v>0.09</v>
      </c>
    </row>
    <row r="1016" spans="1:7" x14ac:dyDescent="0.3">
      <c r="A1016" s="1">
        <v>463585</v>
      </c>
      <c r="B1016" t="str">
        <f>VLOOKUP(A1016,Datos!$A$2:$H$1084,3,FALSE)</f>
        <v>36.52</v>
      </c>
      <c r="C1016" t="str">
        <f>VLOOKUP(A1016,Datos!$A$2:$H$1084,4,FALSE)</f>
        <v>0.00</v>
      </c>
      <c r="D1016" t="str">
        <f>VLOOKUP(A1016,Datos!$A$2:$H$1084,5,FALSE)</f>
        <v>0.33</v>
      </c>
      <c r="E1016" t="str">
        <f>VLOOKUP(A1016,Datos!$A$2:$H$1084,6,FALSE)</f>
        <v>6.63</v>
      </c>
      <c r="F1016" t="str">
        <f>VLOOKUP(A1016,Datos!$A$2:$H$1084,7,FALSE)</f>
        <v>0.00</v>
      </c>
      <c r="G1016" t="str">
        <f>VLOOKUP(A1016,Datos!$A$2:$H$1084,8,FALSE)</f>
        <v>0.03</v>
      </c>
    </row>
    <row r="1017" spans="1:7" x14ac:dyDescent="0.3">
      <c r="A1017" s="1">
        <v>71342</v>
      </c>
      <c r="B1017" t="str">
        <f>VLOOKUP(A1017,Datos!$A$2:$H$1084,3,FALSE)</f>
        <v>43.04</v>
      </c>
      <c r="C1017" t="str">
        <f>VLOOKUP(A1017,Datos!$A$2:$H$1084,4,FALSE)</f>
        <v>0.00</v>
      </c>
      <c r="D1017" t="str">
        <f>VLOOKUP(A1017,Datos!$A$2:$H$1084,5,FALSE)</f>
        <v>0.29</v>
      </c>
      <c r="E1017" t="str">
        <f>VLOOKUP(A1017,Datos!$A$2:$H$1084,6,FALSE)</f>
        <v>16.95</v>
      </c>
      <c r="F1017" t="str">
        <f>VLOOKUP(A1017,Datos!$A$2:$H$1084,7,FALSE)</f>
        <v>0.00</v>
      </c>
      <c r="G1017" t="str">
        <f>VLOOKUP(A1017,Datos!$A$2:$H$1084,8,FALSE)</f>
        <v>0.04</v>
      </c>
    </row>
    <row r="1018" spans="1:7" x14ac:dyDescent="0.3">
      <c r="A1018" s="1">
        <v>147752</v>
      </c>
      <c r="B1018" t="str">
        <f>VLOOKUP(A1018,Datos!$A$2:$H$1084,3,FALSE)</f>
        <v>66.06</v>
      </c>
      <c r="C1018" t="str">
        <f>VLOOKUP(A1018,Datos!$A$2:$H$1084,4,FALSE)</f>
        <v>0.00</v>
      </c>
      <c r="D1018" t="str">
        <f>VLOOKUP(A1018,Datos!$A$2:$H$1084,5,FALSE)</f>
        <v>0.06</v>
      </c>
      <c r="E1018" t="str">
        <f>VLOOKUP(A1018,Datos!$A$2:$H$1084,6,FALSE)</f>
        <v>18.53</v>
      </c>
      <c r="F1018" t="str">
        <f>VLOOKUP(A1018,Datos!$A$2:$H$1084,7,FALSE)</f>
        <v>0.00</v>
      </c>
      <c r="G1018" t="str">
        <f>VLOOKUP(A1018,Datos!$A$2:$H$1084,8,FALSE)</f>
        <v>0.02</v>
      </c>
    </row>
    <row r="1019" spans="1:7" x14ac:dyDescent="0.3">
      <c r="A1019" s="1">
        <v>445087</v>
      </c>
      <c r="B1019" t="str">
        <f>VLOOKUP(A1019,Datos!$A$2:$H$1084,3,FALSE)</f>
        <v>77.72</v>
      </c>
      <c r="C1019" t="str">
        <f>VLOOKUP(A1019,Datos!$A$2:$H$1084,4,FALSE)</f>
        <v>0.00</v>
      </c>
      <c r="D1019" t="str">
        <f>VLOOKUP(A1019,Datos!$A$2:$H$1084,5,FALSE)</f>
        <v>0.78</v>
      </c>
      <c r="E1019" t="str">
        <f>VLOOKUP(A1019,Datos!$A$2:$H$1084,6,FALSE)</f>
        <v>2.89</v>
      </c>
      <c r="F1019" t="str">
        <f>VLOOKUP(A1019,Datos!$A$2:$H$1084,7,FALSE)</f>
        <v>0.00</v>
      </c>
      <c r="G1019" t="str">
        <f>VLOOKUP(A1019,Datos!$A$2:$H$1084,8,FALSE)</f>
        <v>0.01</v>
      </c>
    </row>
    <row r="1020" spans="1:7" x14ac:dyDescent="0.3">
      <c r="A1020" s="1">
        <v>170587</v>
      </c>
      <c r="B1020" t="str">
        <f>VLOOKUP(A1020,Datos!$A$2:$H$1084,3,FALSE)</f>
        <v>24.07</v>
      </c>
      <c r="C1020" t="str">
        <f>VLOOKUP(A1020,Datos!$A$2:$H$1084,4,FALSE)</f>
        <v>0.01</v>
      </c>
      <c r="D1020" t="str">
        <f>VLOOKUP(A1020,Datos!$A$2:$H$1084,5,FALSE)</f>
        <v>0.12</v>
      </c>
      <c r="E1020" t="str">
        <f>VLOOKUP(A1020,Datos!$A$2:$H$1084,6,FALSE)</f>
        <v>1.24</v>
      </c>
      <c r="F1020" t="str">
        <f>VLOOKUP(A1020,Datos!$A$2:$H$1084,7,FALSE)</f>
        <v>0.01</v>
      </c>
      <c r="G1020" t="str">
        <f>VLOOKUP(A1020,Datos!$A$2:$H$1084,8,FALSE)</f>
        <v>0.02</v>
      </c>
    </row>
    <row r="1021" spans="1:7" x14ac:dyDescent="0.3">
      <c r="A1021" s="1">
        <v>462388</v>
      </c>
      <c r="B1021" t="str">
        <f>VLOOKUP(A1021,Datos!$A$2:$H$1084,3,FALSE)</f>
        <v>79.43</v>
      </c>
      <c r="C1021" t="str">
        <f>VLOOKUP(A1021,Datos!$A$2:$H$1084,4,FALSE)</f>
        <v>0.00</v>
      </c>
      <c r="D1021" t="str">
        <f>VLOOKUP(A1021,Datos!$A$2:$H$1084,5,FALSE)</f>
        <v>0.33</v>
      </c>
      <c r="E1021" t="str">
        <f>VLOOKUP(A1021,Datos!$A$2:$H$1084,6,FALSE)</f>
        <v>17.70</v>
      </c>
      <c r="F1021" t="str">
        <f>VLOOKUP(A1021,Datos!$A$2:$H$1084,7,FALSE)</f>
        <v>0.00</v>
      </c>
      <c r="G1021" t="str">
        <f>VLOOKUP(A1021,Datos!$A$2:$H$1084,8,FALSE)</f>
        <v>0.06</v>
      </c>
    </row>
    <row r="1022" spans="1:7" x14ac:dyDescent="0.3">
      <c r="A1022" s="1">
        <v>488454</v>
      </c>
      <c r="B1022" t="str">
        <f>VLOOKUP(A1022,Datos!$A$2:$H$1084,3,FALSE)</f>
        <v>35.49</v>
      </c>
      <c r="C1022" t="str">
        <f>VLOOKUP(A1022,Datos!$A$2:$H$1084,4,FALSE)</f>
        <v>0.00</v>
      </c>
      <c r="D1022" t="str">
        <f>VLOOKUP(A1022,Datos!$A$2:$H$1084,5,FALSE)</f>
        <v>0.07</v>
      </c>
      <c r="E1022" t="str">
        <f>VLOOKUP(A1022,Datos!$A$2:$H$1084,6,FALSE)</f>
        <v>4.94</v>
      </c>
      <c r="F1022" t="str">
        <f>VLOOKUP(A1022,Datos!$A$2:$H$1084,7,FALSE)</f>
        <v>0.00</v>
      </c>
      <c r="G1022" t="str">
        <f>VLOOKUP(A1022,Datos!$A$2:$H$1084,8,FALSE)</f>
        <v>0.02</v>
      </c>
    </row>
    <row r="1023" spans="1:7" x14ac:dyDescent="0.3">
      <c r="A1023" s="1">
        <v>446379</v>
      </c>
      <c r="B1023" t="str">
        <f>VLOOKUP(A1023,Datos!$A$2:$H$1084,3,FALSE)</f>
        <v>91.30</v>
      </c>
      <c r="C1023" t="str">
        <f>VLOOKUP(A1023,Datos!$A$2:$H$1084,4,FALSE)</f>
        <v>0.00</v>
      </c>
      <c r="D1023" t="str">
        <f>VLOOKUP(A1023,Datos!$A$2:$H$1084,5,FALSE)</f>
        <v>0.40</v>
      </c>
      <c r="E1023" t="str">
        <f>VLOOKUP(A1023,Datos!$A$2:$H$1084,6,FALSE)</f>
        <v>6.99</v>
      </c>
      <c r="F1023" t="str">
        <f>VLOOKUP(A1023,Datos!$A$2:$H$1084,7,FALSE)</f>
        <v>0.01</v>
      </c>
      <c r="G1023" t="str">
        <f>VLOOKUP(A1023,Datos!$A$2:$H$1084,8,FALSE)</f>
        <v>0.05</v>
      </c>
    </row>
    <row r="1024" spans="1:7" x14ac:dyDescent="0.3">
      <c r="A1024" s="1">
        <v>62494</v>
      </c>
      <c r="B1024" t="str">
        <f>VLOOKUP(A1024,Datos!$A$2:$H$1084,3,FALSE)</f>
        <v>125.23</v>
      </c>
      <c r="C1024" t="str">
        <f>VLOOKUP(A1024,Datos!$A$2:$H$1084,4,FALSE)</f>
        <v>0.00</v>
      </c>
      <c r="D1024" t="str">
        <f>VLOOKUP(A1024,Datos!$A$2:$H$1084,5,FALSE)</f>
        <v>0.62</v>
      </c>
      <c r="E1024" t="str">
        <f>VLOOKUP(A1024,Datos!$A$2:$H$1084,6,FALSE)</f>
        <v>5.00</v>
      </c>
      <c r="F1024" t="str">
        <f>VLOOKUP(A1024,Datos!$A$2:$H$1084,7,FALSE)</f>
        <v>0.00</v>
      </c>
      <c r="G1024" t="str">
        <f>VLOOKUP(A1024,Datos!$A$2:$H$1084,8,FALSE)</f>
        <v>0.02</v>
      </c>
    </row>
    <row r="1025" spans="1:7" x14ac:dyDescent="0.3">
      <c r="A1025" s="1">
        <v>61908</v>
      </c>
      <c r="B1025" t="str">
        <f>VLOOKUP(A1025,Datos!$A$2:$H$1084,3,FALSE)</f>
        <v>592.13</v>
      </c>
      <c r="C1025" t="str">
        <f>VLOOKUP(A1025,Datos!$A$2:$H$1084,4,FALSE)</f>
        <v>0.00</v>
      </c>
      <c r="D1025" t="str">
        <f>VLOOKUP(A1025,Datos!$A$2:$H$1084,5,FALSE)</f>
        <v>1.10</v>
      </c>
      <c r="E1025" t="str">
        <f>VLOOKUP(A1025,Datos!$A$2:$H$1084,6,FALSE)</f>
        <v>25.57</v>
      </c>
      <c r="F1025" t="str">
        <f>VLOOKUP(A1025,Datos!$A$2:$H$1084,7,FALSE)</f>
        <v>0.00</v>
      </c>
      <c r="G1025" t="str">
        <f>VLOOKUP(A1025,Datos!$A$2:$H$1084,8,FALSE)</f>
        <v>0.08</v>
      </c>
    </row>
    <row r="1026" spans="1:7" x14ac:dyDescent="0.3">
      <c r="A1026" s="1">
        <v>64577</v>
      </c>
      <c r="B1026" t="str">
        <f>VLOOKUP(A1026,Datos!$A$2:$H$1084,3,FALSE)</f>
        <v>33.09</v>
      </c>
      <c r="C1026" t="str">
        <f>VLOOKUP(A1026,Datos!$A$2:$H$1084,4,FALSE)</f>
        <v>0.00</v>
      </c>
      <c r="D1026" t="str">
        <f>VLOOKUP(A1026,Datos!$A$2:$H$1084,5,FALSE)</f>
        <v>0.12</v>
      </c>
      <c r="E1026" t="str">
        <f>VLOOKUP(A1026,Datos!$A$2:$H$1084,6,FALSE)</f>
        <v>0.96</v>
      </c>
      <c r="F1026" t="str">
        <f>VLOOKUP(A1026,Datos!$A$2:$H$1084,7,FALSE)</f>
        <v>0.00</v>
      </c>
      <c r="G1026" t="str">
        <f>VLOOKUP(A1026,Datos!$A$2:$H$1084,8,FALSE)</f>
        <v>0.01</v>
      </c>
    </row>
    <row r="1027" spans="1:7" x14ac:dyDescent="0.3">
      <c r="A1027" s="1">
        <v>441367</v>
      </c>
      <c r="B1027" t="str">
        <f>VLOOKUP(A1027,Datos!$A$2:$H$1084,3,FALSE)</f>
        <v>21.73</v>
      </c>
      <c r="C1027" t="str">
        <f>VLOOKUP(A1027,Datos!$A$2:$H$1084,4,FALSE)</f>
        <v>0.00</v>
      </c>
      <c r="D1027" t="str">
        <f>VLOOKUP(A1027,Datos!$A$2:$H$1084,5,FALSE)</f>
        <v>0.20</v>
      </c>
      <c r="E1027" t="str">
        <f>VLOOKUP(A1027,Datos!$A$2:$H$1084,6,FALSE)</f>
        <v>13.30</v>
      </c>
      <c r="F1027" t="str">
        <f>VLOOKUP(A1027,Datos!$A$2:$H$1084,7,FALSE)</f>
        <v>0.00</v>
      </c>
      <c r="G1027" t="str">
        <f>VLOOKUP(A1027,Datos!$A$2:$H$1084,8,FALSE)</f>
        <v>0.04</v>
      </c>
    </row>
    <row r="1028" spans="1:7" x14ac:dyDescent="0.3">
      <c r="A1028" s="1">
        <v>168061</v>
      </c>
      <c r="B1028" t="str">
        <f>VLOOKUP(A1028,Datos!$A$2:$H$1084,3,FALSE)</f>
        <v>46.22</v>
      </c>
      <c r="C1028" t="str">
        <f>VLOOKUP(A1028,Datos!$A$2:$H$1084,4,FALSE)</f>
        <v>0.00</v>
      </c>
      <c r="D1028" t="str">
        <f>VLOOKUP(A1028,Datos!$A$2:$H$1084,5,FALSE)</f>
        <v>2.92</v>
      </c>
      <c r="E1028" t="str">
        <f>VLOOKUP(A1028,Datos!$A$2:$H$1084,6,FALSE)</f>
        <v>13.15</v>
      </c>
      <c r="F1028" t="str">
        <f>VLOOKUP(A1028,Datos!$A$2:$H$1084,7,FALSE)</f>
        <v>0.00</v>
      </c>
      <c r="G1028" t="str">
        <f>VLOOKUP(A1028,Datos!$A$2:$H$1084,8,FALSE)</f>
        <v>0.33</v>
      </c>
    </row>
    <row r="1029" spans="1:7" x14ac:dyDescent="0.3">
      <c r="A1029" s="1">
        <v>65671</v>
      </c>
      <c r="B1029" t="str">
        <f>VLOOKUP(A1029,Datos!$A$2:$H$1084,3,FALSE)</f>
        <v>22.06</v>
      </c>
      <c r="C1029" t="str">
        <f>VLOOKUP(A1029,Datos!$A$2:$H$1084,4,FALSE)</f>
        <v>0.00</v>
      </c>
      <c r="D1029" t="str">
        <f>VLOOKUP(A1029,Datos!$A$2:$H$1084,5,FALSE)</f>
        <v>0.06</v>
      </c>
      <c r="E1029" t="str">
        <f>VLOOKUP(A1029,Datos!$A$2:$H$1084,6,FALSE)</f>
        <v>3.65</v>
      </c>
      <c r="F1029" t="str">
        <f>VLOOKUP(A1029,Datos!$A$2:$H$1084,7,FALSE)</f>
        <v>0.00</v>
      </c>
      <c r="G1029" t="str">
        <f>VLOOKUP(A1029,Datos!$A$2:$H$1084,8,FALSE)</f>
        <v>0.01</v>
      </c>
    </row>
    <row r="1030" spans="1:7" x14ac:dyDescent="0.3">
      <c r="A1030" s="1">
        <v>453505</v>
      </c>
      <c r="B1030" t="str">
        <f>VLOOKUP(A1030,Datos!$A$2:$H$1084,3,FALSE)</f>
        <v>138.92</v>
      </c>
      <c r="C1030" t="str">
        <f>VLOOKUP(A1030,Datos!$A$2:$H$1084,4,FALSE)</f>
        <v>0.00</v>
      </c>
      <c r="D1030" t="str">
        <f>VLOOKUP(A1030,Datos!$A$2:$H$1084,5,FALSE)</f>
        <v>2.01</v>
      </c>
      <c r="E1030" t="str">
        <f>VLOOKUP(A1030,Datos!$A$2:$H$1084,6,FALSE)</f>
        <v>11.01</v>
      </c>
      <c r="F1030" t="str">
        <f>VLOOKUP(A1030,Datos!$A$2:$H$1084,7,FALSE)</f>
        <v>0.00</v>
      </c>
      <c r="G1030" t="str">
        <f>VLOOKUP(A1030,Datos!$A$2:$H$1084,8,FALSE)</f>
        <v>0.16</v>
      </c>
    </row>
    <row r="1031" spans="1:7" x14ac:dyDescent="0.3">
      <c r="A1031" s="1">
        <v>459338</v>
      </c>
      <c r="B1031" t="str">
        <f>VLOOKUP(A1031,Datos!$A$2:$H$1084,3,FALSE)</f>
        <v>97.43</v>
      </c>
      <c r="C1031" t="str">
        <f>VLOOKUP(A1031,Datos!$A$2:$H$1084,4,FALSE)</f>
        <v>0.00</v>
      </c>
      <c r="D1031" t="str">
        <f>VLOOKUP(A1031,Datos!$A$2:$H$1084,5,FALSE)</f>
        <v>4.27</v>
      </c>
      <c r="E1031" t="str">
        <f>VLOOKUP(A1031,Datos!$A$2:$H$1084,6,FALSE)</f>
        <v>18.98</v>
      </c>
      <c r="F1031" t="str">
        <f>VLOOKUP(A1031,Datos!$A$2:$H$1084,7,FALSE)</f>
        <v>0.00</v>
      </c>
      <c r="G1031" t="str">
        <f>VLOOKUP(A1031,Datos!$A$2:$H$1084,8,FALSE)</f>
        <v>0.38</v>
      </c>
    </row>
    <row r="1032" spans="1:7" x14ac:dyDescent="0.3">
      <c r="A1032" s="1">
        <v>67137</v>
      </c>
      <c r="B1032" t="str">
        <f>VLOOKUP(A1032,Datos!$A$2:$H$1084,3,FALSE)</f>
        <v>33.36</v>
      </c>
      <c r="C1032" t="str">
        <f>VLOOKUP(A1032,Datos!$A$2:$H$1084,4,FALSE)</f>
        <v>0.00</v>
      </c>
      <c r="D1032" t="str">
        <f>VLOOKUP(A1032,Datos!$A$2:$H$1084,5,FALSE)</f>
        <v>0.01</v>
      </c>
      <c r="E1032" t="str">
        <f>VLOOKUP(A1032,Datos!$A$2:$H$1084,6,FALSE)</f>
        <v>0.16</v>
      </c>
      <c r="F1032" t="str">
        <f>VLOOKUP(A1032,Datos!$A$2:$H$1084,7,FALSE)</f>
        <v>0.00</v>
      </c>
      <c r="G1032" t="str">
        <f>VLOOKUP(A1032,Datos!$A$2:$H$1084,8,FALSE)</f>
        <v>0.00</v>
      </c>
    </row>
    <row r="1033" spans="1:7" x14ac:dyDescent="0.3">
      <c r="A1033" s="1">
        <v>468154</v>
      </c>
      <c r="B1033" t="str">
        <f>VLOOKUP(A1033,Datos!$A$2:$H$1084,3,FALSE)</f>
        <v>51.16</v>
      </c>
      <c r="C1033" t="str">
        <f>VLOOKUP(A1033,Datos!$A$2:$H$1084,4,FALSE)</f>
        <v>0.00</v>
      </c>
      <c r="D1033" t="str">
        <f>VLOOKUP(A1033,Datos!$A$2:$H$1084,5,FALSE)</f>
        <v>1.69</v>
      </c>
      <c r="E1033" t="str">
        <f>VLOOKUP(A1033,Datos!$A$2:$H$1084,6,FALSE)</f>
        <v>7.28</v>
      </c>
      <c r="F1033" t="str">
        <f>VLOOKUP(A1033,Datos!$A$2:$H$1084,7,FALSE)</f>
        <v>0.00</v>
      </c>
      <c r="G1033" t="str">
        <f>VLOOKUP(A1033,Datos!$A$2:$H$1084,8,FALSE)</f>
        <v>0.16</v>
      </c>
    </row>
    <row r="1034" spans="1:7" x14ac:dyDescent="0.3">
      <c r="A1034" s="1">
        <v>70620</v>
      </c>
      <c r="B1034" t="str">
        <f>VLOOKUP(A1034,Datos!$A$2:$H$1084,3,FALSE)</f>
        <v>147.54</v>
      </c>
      <c r="C1034" t="str">
        <f>VLOOKUP(A1034,Datos!$A$2:$H$1084,4,FALSE)</f>
        <v>0.00</v>
      </c>
      <c r="D1034" t="str">
        <f>VLOOKUP(A1034,Datos!$A$2:$H$1084,5,FALSE)</f>
        <v>0.31</v>
      </c>
      <c r="E1034" t="str">
        <f>VLOOKUP(A1034,Datos!$A$2:$H$1084,6,FALSE)</f>
        <v>7.19</v>
      </c>
      <c r="F1034" t="str">
        <f>VLOOKUP(A1034,Datos!$A$2:$H$1084,7,FALSE)</f>
        <v>0.00</v>
      </c>
      <c r="G1034" t="str">
        <f>VLOOKUP(A1034,Datos!$A$2:$H$1084,8,FALSE)</f>
        <v>0.03</v>
      </c>
    </row>
    <row r="1035" spans="1:7" x14ac:dyDescent="0.3">
      <c r="A1035" s="1">
        <v>446831</v>
      </c>
      <c r="B1035" t="str">
        <f>VLOOKUP(A1035,Datos!$A$2:$H$1084,3,FALSE)</f>
        <v>50.36</v>
      </c>
      <c r="C1035" t="str">
        <f>VLOOKUP(A1035,Datos!$A$2:$H$1084,4,FALSE)</f>
        <v>0.00</v>
      </c>
      <c r="D1035" t="str">
        <f>VLOOKUP(A1035,Datos!$A$2:$H$1084,5,FALSE)</f>
        <v>1.21</v>
      </c>
      <c r="E1035" t="str">
        <f>VLOOKUP(A1035,Datos!$A$2:$H$1084,6,FALSE)</f>
        <v>1.57</v>
      </c>
      <c r="F1035" t="str">
        <f>VLOOKUP(A1035,Datos!$A$2:$H$1084,7,FALSE)</f>
        <v>0.00</v>
      </c>
      <c r="G1035" t="str">
        <f>VLOOKUP(A1035,Datos!$A$2:$H$1084,8,FALSE)</f>
        <v>0.01</v>
      </c>
    </row>
    <row r="1036" spans="1:7" x14ac:dyDescent="0.3">
      <c r="A1036" s="1">
        <v>66473</v>
      </c>
      <c r="B1036" t="str">
        <f>VLOOKUP(A1036,Datos!$A$2:$H$1084,3,FALSE)</f>
        <v>119.10</v>
      </c>
      <c r="C1036" t="str">
        <f>VLOOKUP(A1036,Datos!$A$2:$H$1084,4,FALSE)</f>
        <v>0.00</v>
      </c>
      <c r="D1036" t="str">
        <f>VLOOKUP(A1036,Datos!$A$2:$H$1084,5,FALSE)</f>
        <v>3.40</v>
      </c>
      <c r="E1036" t="str">
        <f>VLOOKUP(A1036,Datos!$A$2:$H$1084,6,FALSE)</f>
        <v>4.89</v>
      </c>
      <c r="F1036" t="str">
        <f>VLOOKUP(A1036,Datos!$A$2:$H$1084,7,FALSE)</f>
        <v>0.00</v>
      </c>
      <c r="G1036" t="str">
        <f>VLOOKUP(A1036,Datos!$A$2:$H$1084,8,FALSE)</f>
        <v>0.23</v>
      </c>
    </row>
    <row r="1037" spans="1:7" x14ac:dyDescent="0.3">
      <c r="A1037" s="1">
        <v>65690</v>
      </c>
      <c r="B1037" t="str">
        <f>VLOOKUP(A1037,Datos!$A$2:$H$1084,3,FALSE)</f>
        <v>71.19</v>
      </c>
      <c r="C1037" t="str">
        <f>VLOOKUP(A1037,Datos!$A$2:$H$1084,4,FALSE)</f>
        <v>0.00</v>
      </c>
      <c r="D1037" t="str">
        <f>VLOOKUP(A1037,Datos!$A$2:$H$1084,5,FALSE)</f>
        <v>0.41</v>
      </c>
      <c r="E1037" t="str">
        <f>VLOOKUP(A1037,Datos!$A$2:$H$1084,6,FALSE)</f>
        <v>7.96</v>
      </c>
      <c r="F1037" t="str">
        <f>VLOOKUP(A1037,Datos!$A$2:$H$1084,7,FALSE)</f>
        <v>0.00</v>
      </c>
      <c r="G1037" t="str">
        <f>VLOOKUP(A1037,Datos!$A$2:$H$1084,8,FALSE)</f>
        <v>0.04</v>
      </c>
    </row>
    <row r="1038" spans="1:7" x14ac:dyDescent="0.3">
      <c r="A1038" s="1">
        <v>66519</v>
      </c>
      <c r="B1038" t="str">
        <f>VLOOKUP(A1038,Datos!$A$2:$H$1084,3,FALSE)</f>
        <v>50.19</v>
      </c>
      <c r="C1038" t="str">
        <f>VLOOKUP(A1038,Datos!$A$2:$H$1084,4,FALSE)</f>
        <v>0.00</v>
      </c>
      <c r="D1038" t="str">
        <f>VLOOKUP(A1038,Datos!$A$2:$H$1084,5,FALSE)</f>
        <v>1.31</v>
      </c>
      <c r="E1038" t="str">
        <f>VLOOKUP(A1038,Datos!$A$2:$H$1084,6,FALSE)</f>
        <v>20.10</v>
      </c>
      <c r="F1038" t="str">
        <f>VLOOKUP(A1038,Datos!$A$2:$H$1084,7,FALSE)</f>
        <v>0.00</v>
      </c>
      <c r="G1038" t="str">
        <f>VLOOKUP(A1038,Datos!$A$2:$H$1084,8,FALSE)</f>
        <v>0.17</v>
      </c>
    </row>
    <row r="1039" spans="1:7" x14ac:dyDescent="0.3">
      <c r="A1039" s="1">
        <v>169758</v>
      </c>
      <c r="B1039" t="str">
        <f>VLOOKUP(A1039,Datos!$A$2:$H$1084,3,FALSE)</f>
        <v>0</v>
      </c>
      <c r="C1039" t="str">
        <f>VLOOKUP(A1039,Datos!$A$2:$H$1084,4,FALSE)</f>
        <v>0</v>
      </c>
      <c r="D1039" t="str">
        <f>VLOOKUP(A1039,Datos!$A$2:$H$1084,5,FALSE)</f>
        <v>0</v>
      </c>
      <c r="E1039" t="str">
        <f>VLOOKUP(A1039,Datos!$A$2:$H$1084,6,FALSE)</f>
        <v>0</v>
      </c>
      <c r="F1039" t="str">
        <f>VLOOKUP(A1039,Datos!$A$2:$H$1084,7,FALSE)</f>
        <v>0</v>
      </c>
      <c r="G1039" t="str">
        <f>VLOOKUP(A1039,Datos!$A$2:$H$1084,8,FALSE)</f>
        <v>0</v>
      </c>
    </row>
    <row r="1040" spans="1:7" x14ac:dyDescent="0.3">
      <c r="A1040" s="1">
        <v>64624</v>
      </c>
      <c r="B1040" t="str">
        <f>VLOOKUP(A1040,Datos!$A$2:$H$1084,3,FALSE)</f>
        <v>54.95</v>
      </c>
      <c r="C1040" t="str">
        <f>VLOOKUP(A1040,Datos!$A$2:$H$1084,4,FALSE)</f>
        <v>0.00</v>
      </c>
      <c r="D1040" t="str">
        <f>VLOOKUP(A1040,Datos!$A$2:$H$1084,5,FALSE)</f>
        <v>0.41</v>
      </c>
      <c r="E1040" t="str">
        <f>VLOOKUP(A1040,Datos!$A$2:$H$1084,6,FALSE)</f>
        <v>6.77</v>
      </c>
      <c r="F1040" t="str">
        <f>VLOOKUP(A1040,Datos!$A$2:$H$1084,7,FALSE)</f>
        <v>0.00</v>
      </c>
      <c r="G1040" t="str">
        <f>VLOOKUP(A1040,Datos!$A$2:$H$1084,8,FALSE)</f>
        <v>0.04</v>
      </c>
    </row>
    <row r="1041" spans="1:7" x14ac:dyDescent="0.3">
      <c r="A1041" s="1">
        <v>59463</v>
      </c>
      <c r="B1041" t="str">
        <f>VLOOKUP(A1041,Datos!$A$2:$H$1084,3,FALSE)</f>
        <v>37.55</v>
      </c>
      <c r="C1041" t="str">
        <f>VLOOKUP(A1041,Datos!$A$2:$H$1084,4,FALSE)</f>
        <v>0.00</v>
      </c>
      <c r="D1041" t="str">
        <f>VLOOKUP(A1041,Datos!$A$2:$H$1084,5,FALSE)</f>
        <v>0.50</v>
      </c>
      <c r="E1041" t="str">
        <f>VLOOKUP(A1041,Datos!$A$2:$H$1084,6,FALSE)</f>
        <v>15.89</v>
      </c>
      <c r="F1041" t="str">
        <f>VLOOKUP(A1041,Datos!$A$2:$H$1084,7,FALSE)</f>
        <v>0.00</v>
      </c>
      <c r="G1041" t="str">
        <f>VLOOKUP(A1041,Datos!$A$2:$H$1084,8,FALSE)</f>
        <v>0.05</v>
      </c>
    </row>
    <row r="1042" spans="1:7" x14ac:dyDescent="0.3">
      <c r="A1042" s="1">
        <v>62516</v>
      </c>
      <c r="B1042" t="str">
        <f>VLOOKUP(A1042,Datos!$A$2:$H$1084,3,FALSE)</f>
        <v>13.84</v>
      </c>
      <c r="C1042" t="str">
        <f>VLOOKUP(A1042,Datos!$A$2:$H$1084,4,FALSE)</f>
        <v>0.01</v>
      </c>
      <c r="D1042" t="str">
        <f>VLOOKUP(A1042,Datos!$A$2:$H$1084,5,FALSE)</f>
        <v>0.03</v>
      </c>
      <c r="E1042" t="str">
        <f>VLOOKUP(A1042,Datos!$A$2:$H$1084,6,FALSE)</f>
        <v>7.22</v>
      </c>
      <c r="F1042" t="str">
        <f>VLOOKUP(A1042,Datos!$A$2:$H$1084,7,FALSE)</f>
        <v>0.01</v>
      </c>
      <c r="G1042" t="str">
        <f>VLOOKUP(A1042,Datos!$A$2:$H$1084,8,FALSE)</f>
        <v>0.03</v>
      </c>
    </row>
    <row r="1043" spans="1:7" x14ac:dyDescent="0.3">
      <c r="A1043" s="1">
        <v>452290</v>
      </c>
      <c r="B1043" t="str">
        <f>VLOOKUP(A1043,Datos!$A$2:$H$1084,3,FALSE)</f>
        <v>51.30</v>
      </c>
      <c r="C1043" t="str">
        <f>VLOOKUP(A1043,Datos!$A$2:$H$1084,4,FALSE)</f>
        <v>0.00</v>
      </c>
      <c r="D1043" t="str">
        <f>VLOOKUP(A1043,Datos!$A$2:$H$1084,5,FALSE)</f>
        <v>1.03</v>
      </c>
      <c r="E1043" t="str">
        <f>VLOOKUP(A1043,Datos!$A$2:$H$1084,6,FALSE)</f>
        <v>15.72</v>
      </c>
      <c r="F1043" t="str">
        <f>VLOOKUP(A1043,Datos!$A$2:$H$1084,7,FALSE)</f>
        <v>0.00</v>
      </c>
      <c r="G1043" t="str">
        <f>VLOOKUP(A1043,Datos!$A$2:$H$1084,8,FALSE)</f>
        <v>0.16</v>
      </c>
    </row>
    <row r="1044" spans="1:7" x14ac:dyDescent="0.3">
      <c r="A1044" s="1">
        <v>61244</v>
      </c>
      <c r="B1044" t="str">
        <f>VLOOKUP(A1044,Datos!$A$2:$H$1084,3,FALSE)</f>
        <v>12.67</v>
      </c>
      <c r="C1044" t="str">
        <f>VLOOKUP(A1044,Datos!$A$2:$H$1084,4,FALSE)</f>
        <v>0.00</v>
      </c>
      <c r="D1044" t="str">
        <f>VLOOKUP(A1044,Datos!$A$2:$H$1084,5,FALSE)</f>
        <v>0.00</v>
      </c>
      <c r="E1044" t="str">
        <f>VLOOKUP(A1044,Datos!$A$2:$H$1084,6,FALSE)</f>
        <v>0.69</v>
      </c>
      <c r="F1044" t="str">
        <f>VLOOKUP(A1044,Datos!$A$2:$H$1084,7,FALSE)</f>
        <v>0.00</v>
      </c>
      <c r="G1044" t="str">
        <f>VLOOKUP(A1044,Datos!$A$2:$H$1084,8,FALSE)</f>
        <v>0.00</v>
      </c>
    </row>
    <row r="1045" spans="1:7" x14ac:dyDescent="0.3">
      <c r="A1045" s="1">
        <v>62941</v>
      </c>
      <c r="B1045" t="str">
        <f>VLOOKUP(A1045,Datos!$A$2:$H$1084,3,FALSE)</f>
        <v>41.83</v>
      </c>
      <c r="C1045" t="str">
        <f>VLOOKUP(A1045,Datos!$A$2:$H$1084,4,FALSE)</f>
        <v>0.00</v>
      </c>
      <c r="D1045" t="str">
        <f>VLOOKUP(A1045,Datos!$A$2:$H$1084,5,FALSE)</f>
        <v>0.50</v>
      </c>
      <c r="E1045" t="str">
        <f>VLOOKUP(A1045,Datos!$A$2:$H$1084,6,FALSE)</f>
        <v>8.25</v>
      </c>
      <c r="F1045" t="str">
        <f>VLOOKUP(A1045,Datos!$A$2:$H$1084,7,FALSE)</f>
        <v>0.00</v>
      </c>
      <c r="G1045" t="str">
        <f>VLOOKUP(A1045,Datos!$A$2:$H$1084,8,FALSE)</f>
        <v>0.05</v>
      </c>
    </row>
    <row r="1046" spans="1:7" x14ac:dyDescent="0.3">
      <c r="A1046" s="1">
        <v>92288</v>
      </c>
      <c r="B1046" t="str">
        <f>VLOOKUP(A1046,Datos!$A$2:$H$1084,3,FALSE)</f>
        <v>52.07</v>
      </c>
      <c r="C1046" t="str">
        <f>VLOOKUP(A1046,Datos!$A$2:$H$1084,4,FALSE)</f>
        <v>0.00</v>
      </c>
      <c r="D1046" t="str">
        <f>VLOOKUP(A1046,Datos!$A$2:$H$1084,5,FALSE)</f>
        <v>0.23</v>
      </c>
      <c r="E1046" t="str">
        <f>VLOOKUP(A1046,Datos!$A$2:$H$1084,6,FALSE)</f>
        <v>2.93</v>
      </c>
      <c r="F1046" t="str">
        <f>VLOOKUP(A1046,Datos!$A$2:$H$1084,7,FALSE)</f>
        <v>0.00</v>
      </c>
      <c r="G1046" t="str">
        <f>VLOOKUP(A1046,Datos!$A$2:$H$1084,8,FALSE)</f>
        <v>0.01</v>
      </c>
    </row>
    <row r="1047" spans="1:7" x14ac:dyDescent="0.3">
      <c r="A1047" s="1">
        <v>71498</v>
      </c>
      <c r="B1047" t="str">
        <f>VLOOKUP(A1047,Datos!$A$2:$H$1084,3,FALSE)</f>
        <v>38.12</v>
      </c>
      <c r="C1047" t="str">
        <f>VLOOKUP(A1047,Datos!$A$2:$H$1084,4,FALSE)</f>
        <v>0.00</v>
      </c>
      <c r="D1047" t="str">
        <f>VLOOKUP(A1047,Datos!$A$2:$H$1084,5,FALSE)</f>
        <v>0.08</v>
      </c>
      <c r="E1047" t="str">
        <f>VLOOKUP(A1047,Datos!$A$2:$H$1084,6,FALSE)</f>
        <v>8.52</v>
      </c>
      <c r="F1047" t="str">
        <f>VLOOKUP(A1047,Datos!$A$2:$H$1084,7,FALSE)</f>
        <v>0.00</v>
      </c>
      <c r="G1047" t="str">
        <f>VLOOKUP(A1047,Datos!$A$2:$H$1084,8,FALSE)</f>
        <v>0.01</v>
      </c>
    </row>
    <row r="1048" spans="1:7" x14ac:dyDescent="0.3">
      <c r="A1048" s="1">
        <v>450540</v>
      </c>
      <c r="B1048" t="str">
        <f>VLOOKUP(A1048,Datos!$A$2:$H$1084,3,FALSE)</f>
        <v>43.44</v>
      </c>
      <c r="C1048" t="str">
        <f>VLOOKUP(A1048,Datos!$A$2:$H$1084,4,FALSE)</f>
        <v>0.00</v>
      </c>
      <c r="D1048" t="str">
        <f>VLOOKUP(A1048,Datos!$A$2:$H$1084,5,FALSE)</f>
        <v>0.05</v>
      </c>
      <c r="E1048" t="str">
        <f>VLOOKUP(A1048,Datos!$A$2:$H$1084,6,FALSE)</f>
        <v>2.43</v>
      </c>
      <c r="F1048" t="str">
        <f>VLOOKUP(A1048,Datos!$A$2:$H$1084,7,FALSE)</f>
        <v>0.00</v>
      </c>
      <c r="G1048" t="str">
        <f>VLOOKUP(A1048,Datos!$A$2:$H$1084,8,FALSE)</f>
        <v>0.01</v>
      </c>
    </row>
    <row r="1049" spans="1:7" x14ac:dyDescent="0.3">
      <c r="A1049" s="1">
        <v>465283</v>
      </c>
      <c r="B1049" t="str">
        <f>VLOOKUP(A1049,Datos!$A$2:$H$1084,3,FALSE)</f>
        <v>85.77</v>
      </c>
      <c r="C1049" t="str">
        <f>VLOOKUP(A1049,Datos!$A$2:$H$1084,4,FALSE)</f>
        <v>0.00</v>
      </c>
      <c r="D1049" t="str">
        <f>VLOOKUP(A1049,Datos!$A$2:$H$1084,5,FALSE)</f>
        <v>4.45</v>
      </c>
      <c r="E1049" t="str">
        <f>VLOOKUP(A1049,Datos!$A$2:$H$1084,6,FALSE)</f>
        <v>19.08</v>
      </c>
      <c r="F1049" t="str">
        <f>VLOOKUP(A1049,Datos!$A$2:$H$1084,7,FALSE)</f>
        <v>0.00</v>
      </c>
      <c r="G1049" t="str">
        <f>VLOOKUP(A1049,Datos!$A$2:$H$1084,8,FALSE)</f>
        <v>0.77</v>
      </c>
    </row>
    <row r="1050" spans="1:7" x14ac:dyDescent="0.3">
      <c r="A1050" s="1">
        <v>789131</v>
      </c>
      <c r="B1050" t="str">
        <f>VLOOKUP(A1050,Datos!$A$2:$H$1084,3,FALSE)</f>
        <v>14.15</v>
      </c>
      <c r="C1050" t="str">
        <f>VLOOKUP(A1050,Datos!$A$2:$H$1084,4,FALSE)</f>
        <v>0.00</v>
      </c>
      <c r="D1050" t="str">
        <f>VLOOKUP(A1050,Datos!$A$2:$H$1084,5,FALSE)</f>
        <v>0.13</v>
      </c>
      <c r="E1050" t="str">
        <f>VLOOKUP(A1050,Datos!$A$2:$H$1084,6,FALSE)</f>
        <v>4.74</v>
      </c>
      <c r="F1050" t="str">
        <f>VLOOKUP(A1050,Datos!$A$2:$H$1084,7,FALSE)</f>
        <v>0.00</v>
      </c>
      <c r="G1050" t="str">
        <f>VLOOKUP(A1050,Datos!$A$2:$H$1084,8,FALSE)</f>
        <v>0.01</v>
      </c>
    </row>
    <row r="1051" spans="1:7" x14ac:dyDescent="0.3">
      <c r="A1051" s="1">
        <v>441503</v>
      </c>
      <c r="B1051" t="str">
        <f>VLOOKUP(A1051,Datos!$A$2:$H$1084,3,FALSE)</f>
        <v>50.47</v>
      </c>
      <c r="C1051" t="str">
        <f>VLOOKUP(A1051,Datos!$A$2:$H$1084,4,FALSE)</f>
        <v>0.00</v>
      </c>
      <c r="D1051" t="str">
        <f>VLOOKUP(A1051,Datos!$A$2:$H$1084,5,FALSE)</f>
        <v>0.19</v>
      </c>
      <c r="E1051" t="str">
        <f>VLOOKUP(A1051,Datos!$A$2:$H$1084,6,FALSE)</f>
        <v>17.44</v>
      </c>
      <c r="F1051" t="str">
        <f>VLOOKUP(A1051,Datos!$A$2:$H$1084,7,FALSE)</f>
        <v>0.00</v>
      </c>
      <c r="G1051" t="str">
        <f>VLOOKUP(A1051,Datos!$A$2:$H$1084,8,FALSE)</f>
        <v>0.04</v>
      </c>
    </row>
    <row r="1052" spans="1:7" x14ac:dyDescent="0.3">
      <c r="A1052" s="1">
        <v>453204</v>
      </c>
      <c r="B1052" t="str">
        <f>VLOOKUP(A1052,Datos!$A$2:$H$1084,3,FALSE)</f>
        <v>67.18</v>
      </c>
      <c r="C1052" t="str">
        <f>VLOOKUP(A1052,Datos!$A$2:$H$1084,4,FALSE)</f>
        <v>0.00</v>
      </c>
      <c r="D1052" t="str">
        <f>VLOOKUP(A1052,Datos!$A$2:$H$1084,5,FALSE)</f>
        <v>1.68</v>
      </c>
      <c r="E1052" t="str">
        <f>VLOOKUP(A1052,Datos!$A$2:$H$1084,6,FALSE)</f>
        <v>12.06</v>
      </c>
      <c r="F1052" t="str">
        <f>VLOOKUP(A1052,Datos!$A$2:$H$1084,7,FALSE)</f>
        <v>0.00</v>
      </c>
      <c r="G1052" t="str">
        <f>VLOOKUP(A1052,Datos!$A$2:$H$1084,8,FALSE)</f>
        <v>0.06</v>
      </c>
    </row>
    <row r="1053" spans="1:7" x14ac:dyDescent="0.3">
      <c r="A1053" s="1">
        <v>463986</v>
      </c>
      <c r="B1053" t="str">
        <f>VLOOKUP(A1053,Datos!$A$2:$H$1084,3,FALSE)</f>
        <v>83.93</v>
      </c>
      <c r="C1053" t="str">
        <f>VLOOKUP(A1053,Datos!$A$2:$H$1084,4,FALSE)</f>
        <v>0.00</v>
      </c>
      <c r="D1053" t="str">
        <f>VLOOKUP(A1053,Datos!$A$2:$H$1084,5,FALSE)</f>
        <v>0.27</v>
      </c>
      <c r="E1053" t="str">
        <f>VLOOKUP(A1053,Datos!$A$2:$H$1084,6,FALSE)</f>
        <v>7.91</v>
      </c>
      <c r="F1053" t="str">
        <f>VLOOKUP(A1053,Datos!$A$2:$H$1084,7,FALSE)</f>
        <v>0.00</v>
      </c>
      <c r="G1053" t="str">
        <f>VLOOKUP(A1053,Datos!$A$2:$H$1084,8,FALSE)</f>
        <v>0.05</v>
      </c>
    </row>
    <row r="1054" spans="1:7" x14ac:dyDescent="0.3">
      <c r="A1054" s="1">
        <v>168136</v>
      </c>
      <c r="B1054" t="str">
        <f>VLOOKUP(A1054,Datos!$A$2:$H$1084,3,FALSE)</f>
        <v>27.63</v>
      </c>
      <c r="C1054" t="str">
        <f>VLOOKUP(A1054,Datos!$A$2:$H$1084,4,FALSE)</f>
        <v>0.00</v>
      </c>
      <c r="D1054" t="str">
        <f>VLOOKUP(A1054,Datos!$A$2:$H$1084,5,FALSE)</f>
        <v>0.07</v>
      </c>
      <c r="E1054" t="str">
        <f>VLOOKUP(A1054,Datos!$A$2:$H$1084,6,FALSE)</f>
        <v>10.17</v>
      </c>
      <c r="F1054" t="str">
        <f>VLOOKUP(A1054,Datos!$A$2:$H$1084,7,FALSE)</f>
        <v>0.00</v>
      </c>
      <c r="G1054" t="str">
        <f>VLOOKUP(A1054,Datos!$A$2:$H$1084,8,FALSE)</f>
        <v>0.03</v>
      </c>
    </row>
    <row r="1055" spans="1:7" x14ac:dyDescent="0.3">
      <c r="A1055" s="1">
        <v>453586</v>
      </c>
      <c r="B1055" t="str">
        <f>VLOOKUP(A1055,Datos!$A$2:$H$1084,3,FALSE)</f>
        <v>141.66</v>
      </c>
      <c r="C1055" t="str">
        <f>VLOOKUP(A1055,Datos!$A$2:$H$1084,4,FALSE)</f>
        <v>0.00</v>
      </c>
      <c r="D1055" t="str">
        <f>VLOOKUP(A1055,Datos!$A$2:$H$1084,5,FALSE)</f>
        <v>1.79</v>
      </c>
      <c r="E1055" t="str">
        <f>VLOOKUP(A1055,Datos!$A$2:$H$1084,6,FALSE)</f>
        <v>15.29</v>
      </c>
      <c r="F1055" t="str">
        <f>VLOOKUP(A1055,Datos!$A$2:$H$1084,7,FALSE)</f>
        <v>0.00</v>
      </c>
      <c r="G1055" t="str">
        <f>VLOOKUP(A1055,Datos!$A$2:$H$1084,8,FALSE)</f>
        <v>0.05</v>
      </c>
    </row>
    <row r="1056" spans="1:7" x14ac:dyDescent="0.3">
      <c r="A1056" s="1">
        <v>44513</v>
      </c>
      <c r="B1056" t="str">
        <f>VLOOKUP(A1056,Datos!$A$2:$H$1084,3,FALSE)</f>
        <v>27.13</v>
      </c>
      <c r="C1056" t="str">
        <f>VLOOKUP(A1056,Datos!$A$2:$H$1084,4,FALSE)</f>
        <v>0.00</v>
      </c>
      <c r="D1056" t="str">
        <f>VLOOKUP(A1056,Datos!$A$2:$H$1084,5,FALSE)</f>
        <v>0.09</v>
      </c>
      <c r="E1056" t="str">
        <f>VLOOKUP(A1056,Datos!$A$2:$H$1084,6,FALSE)</f>
        <v>1.89</v>
      </c>
      <c r="F1056" t="str">
        <f>VLOOKUP(A1056,Datos!$A$2:$H$1084,7,FALSE)</f>
        <v>0.00</v>
      </c>
      <c r="G1056" t="str">
        <f>VLOOKUP(A1056,Datos!$A$2:$H$1084,8,FALSE)</f>
        <v>0.01</v>
      </c>
    </row>
    <row r="1057" spans="1:7" x14ac:dyDescent="0.3">
      <c r="A1057" s="1">
        <v>62564</v>
      </c>
      <c r="B1057" t="str">
        <f>VLOOKUP(A1057,Datos!$A$2:$H$1084,3,FALSE)</f>
        <v>92.68</v>
      </c>
      <c r="C1057" t="str">
        <f>VLOOKUP(A1057,Datos!$A$2:$H$1084,4,FALSE)</f>
        <v>0.01</v>
      </c>
      <c r="D1057" t="str">
        <f>VLOOKUP(A1057,Datos!$A$2:$H$1084,5,FALSE)</f>
        <v>1.03</v>
      </c>
      <c r="E1057" t="str">
        <f>VLOOKUP(A1057,Datos!$A$2:$H$1084,6,FALSE)</f>
        <v>20.40</v>
      </c>
      <c r="F1057" t="str">
        <f>VLOOKUP(A1057,Datos!$A$2:$H$1084,7,FALSE)</f>
        <v>0.01</v>
      </c>
      <c r="G1057" t="str">
        <f>VLOOKUP(A1057,Datos!$A$2:$H$1084,8,FALSE)</f>
        <v>0.05</v>
      </c>
    </row>
    <row r="1058" spans="1:7" x14ac:dyDescent="0.3">
      <c r="A1058" s="1">
        <v>156497</v>
      </c>
      <c r="B1058" t="str">
        <f>VLOOKUP(A1058,Datos!$A$2:$H$1084,3,FALSE)</f>
        <v>50.18</v>
      </c>
      <c r="C1058" t="str">
        <f>VLOOKUP(A1058,Datos!$A$2:$H$1084,4,FALSE)</f>
        <v>0.00</v>
      </c>
      <c r="D1058" t="str">
        <f>VLOOKUP(A1058,Datos!$A$2:$H$1084,5,FALSE)</f>
        <v>0.44</v>
      </c>
      <c r="E1058" t="str">
        <f>VLOOKUP(A1058,Datos!$A$2:$H$1084,6,FALSE)</f>
        <v>16.46</v>
      </c>
      <c r="F1058" t="str">
        <f>VLOOKUP(A1058,Datos!$A$2:$H$1084,7,FALSE)</f>
        <v>0.00</v>
      </c>
      <c r="G1058" t="str">
        <f>VLOOKUP(A1058,Datos!$A$2:$H$1084,8,FALSE)</f>
        <v>0.11</v>
      </c>
    </row>
    <row r="1059" spans="1:7" x14ac:dyDescent="0.3">
      <c r="A1059" s="1">
        <v>49011</v>
      </c>
      <c r="B1059" t="str">
        <f>VLOOKUP(A1059,Datos!$A$2:$H$1084,3,FALSE)</f>
        <v>93.15</v>
      </c>
      <c r="C1059" t="str">
        <f>VLOOKUP(A1059,Datos!$A$2:$H$1084,4,FALSE)</f>
        <v>0.00</v>
      </c>
      <c r="D1059" t="str">
        <f>VLOOKUP(A1059,Datos!$A$2:$H$1084,5,FALSE)</f>
        <v>4.89</v>
      </c>
      <c r="E1059" t="str">
        <f>VLOOKUP(A1059,Datos!$A$2:$H$1084,6,FALSE)</f>
        <v>10.71</v>
      </c>
      <c r="F1059" t="str">
        <f>VLOOKUP(A1059,Datos!$A$2:$H$1084,7,FALSE)</f>
        <v>0.00</v>
      </c>
      <c r="G1059" t="str">
        <f>VLOOKUP(A1059,Datos!$A$2:$H$1084,8,FALSE)</f>
        <v>0.44</v>
      </c>
    </row>
    <row r="1060" spans="1:7" x14ac:dyDescent="0.3">
      <c r="A1060" s="1">
        <v>468192</v>
      </c>
      <c r="B1060" t="str">
        <f>VLOOKUP(A1060,Datos!$A$2:$H$1084,3,FALSE)</f>
        <v>26.29</v>
      </c>
      <c r="C1060" t="str">
        <f>VLOOKUP(A1060,Datos!$A$2:$H$1084,4,FALSE)</f>
        <v>0.00</v>
      </c>
      <c r="D1060" t="str">
        <f>VLOOKUP(A1060,Datos!$A$2:$H$1084,5,FALSE)</f>
        <v>0.05</v>
      </c>
      <c r="E1060" t="str">
        <f>VLOOKUP(A1060,Datos!$A$2:$H$1084,6,FALSE)</f>
        <v>1.37</v>
      </c>
      <c r="F1060" t="str">
        <f>VLOOKUP(A1060,Datos!$A$2:$H$1084,7,FALSE)</f>
        <v>0.00</v>
      </c>
      <c r="G1060" t="str">
        <f>VLOOKUP(A1060,Datos!$A$2:$H$1084,8,FALSE)</f>
        <v>0.01</v>
      </c>
    </row>
    <row r="1061" spans="1:7" x14ac:dyDescent="0.3">
      <c r="A1061" s="1">
        <v>55281</v>
      </c>
      <c r="B1061" t="str">
        <f>VLOOKUP(A1061,Datos!$A$2:$H$1084,3,FALSE)</f>
        <v>27.77</v>
      </c>
      <c r="C1061" t="str">
        <f>VLOOKUP(A1061,Datos!$A$2:$H$1084,4,FALSE)</f>
        <v>0.00</v>
      </c>
      <c r="D1061" t="str">
        <f>VLOOKUP(A1061,Datos!$A$2:$H$1084,5,FALSE)</f>
        <v>0.19</v>
      </c>
      <c r="E1061" t="str">
        <f>VLOOKUP(A1061,Datos!$A$2:$H$1084,6,FALSE)</f>
        <v>7.78</v>
      </c>
      <c r="F1061" t="str">
        <f>VLOOKUP(A1061,Datos!$A$2:$H$1084,7,FALSE)</f>
        <v>0.00</v>
      </c>
      <c r="G1061" t="str">
        <f>VLOOKUP(A1061,Datos!$A$2:$H$1084,8,FALSE)</f>
        <v>0.03</v>
      </c>
    </row>
    <row r="1062" spans="1:7" x14ac:dyDescent="0.3">
      <c r="A1062" s="1">
        <v>463378</v>
      </c>
      <c r="B1062" t="str">
        <f>VLOOKUP(A1062,Datos!$A$2:$H$1084,3,FALSE)</f>
        <v>78.19</v>
      </c>
      <c r="C1062" t="str">
        <f>VLOOKUP(A1062,Datos!$A$2:$H$1084,4,FALSE)</f>
        <v>0.00</v>
      </c>
      <c r="D1062" t="str">
        <f>VLOOKUP(A1062,Datos!$A$2:$H$1084,5,FALSE)</f>
        <v>0.54</v>
      </c>
      <c r="E1062" t="str">
        <f>VLOOKUP(A1062,Datos!$A$2:$H$1084,6,FALSE)</f>
        <v>24.57</v>
      </c>
      <c r="F1062" t="str">
        <f>VLOOKUP(A1062,Datos!$A$2:$H$1084,7,FALSE)</f>
        <v>0.00</v>
      </c>
      <c r="G1062" t="str">
        <f>VLOOKUP(A1062,Datos!$A$2:$H$1084,8,FALSE)</f>
        <v>0.07</v>
      </c>
    </row>
    <row r="1063" spans="1:7" x14ac:dyDescent="0.3">
      <c r="A1063" s="1">
        <v>62960</v>
      </c>
      <c r="B1063" t="str">
        <f>VLOOKUP(A1063,Datos!$A$2:$H$1084,3,FALSE)</f>
        <v>35.11</v>
      </c>
      <c r="C1063" t="str">
        <f>VLOOKUP(A1063,Datos!$A$2:$H$1084,4,FALSE)</f>
        <v>0.00</v>
      </c>
      <c r="D1063" t="str">
        <f>VLOOKUP(A1063,Datos!$A$2:$H$1084,5,FALSE)</f>
        <v>0.11</v>
      </c>
      <c r="E1063" t="str">
        <f>VLOOKUP(A1063,Datos!$A$2:$H$1084,6,FALSE)</f>
        <v>2.31</v>
      </c>
      <c r="F1063" t="str">
        <f>VLOOKUP(A1063,Datos!$A$2:$H$1084,7,FALSE)</f>
        <v>0.00</v>
      </c>
      <c r="G1063" t="str">
        <f>VLOOKUP(A1063,Datos!$A$2:$H$1084,8,FALSE)</f>
        <v>0.01</v>
      </c>
    </row>
    <row r="1064" spans="1:7" x14ac:dyDescent="0.3">
      <c r="A1064" s="1">
        <v>55422</v>
      </c>
      <c r="B1064" t="str">
        <f>VLOOKUP(A1064,Datos!$A$2:$H$1084,3,FALSE)</f>
        <v>64.40</v>
      </c>
      <c r="C1064" t="str">
        <f>VLOOKUP(A1064,Datos!$A$2:$H$1084,4,FALSE)</f>
        <v>0.00</v>
      </c>
      <c r="D1064" t="str">
        <f>VLOOKUP(A1064,Datos!$A$2:$H$1084,5,FALSE)</f>
        <v>1.95</v>
      </c>
      <c r="E1064" t="str">
        <f>VLOOKUP(A1064,Datos!$A$2:$H$1084,6,FALSE)</f>
        <v>17.64</v>
      </c>
      <c r="F1064" t="str">
        <f>VLOOKUP(A1064,Datos!$A$2:$H$1084,7,FALSE)</f>
        <v>0.00</v>
      </c>
      <c r="G1064" t="str">
        <f>VLOOKUP(A1064,Datos!$A$2:$H$1084,8,FALSE)</f>
        <v>0.18</v>
      </c>
    </row>
    <row r="1065" spans="1:7" x14ac:dyDescent="0.3">
      <c r="A1065" s="1">
        <v>60485</v>
      </c>
      <c r="B1065" t="str">
        <f>VLOOKUP(A1065,Datos!$A$2:$H$1084,3,FALSE)</f>
        <v>78.19</v>
      </c>
      <c r="C1065" t="str">
        <f>VLOOKUP(A1065,Datos!$A$2:$H$1084,4,FALSE)</f>
        <v>0.01</v>
      </c>
      <c r="D1065" t="str">
        <f>VLOOKUP(A1065,Datos!$A$2:$H$1084,5,FALSE)</f>
        <v>3.07</v>
      </c>
      <c r="E1065" t="str">
        <f>VLOOKUP(A1065,Datos!$A$2:$H$1084,6,FALSE)</f>
        <v>5.21</v>
      </c>
      <c r="F1065" t="str">
        <f>VLOOKUP(A1065,Datos!$A$2:$H$1084,7,FALSE)</f>
        <v>0.01</v>
      </c>
      <c r="G1065" t="str">
        <f>VLOOKUP(A1065,Datos!$A$2:$H$1084,8,FALSE)</f>
        <v>0.20</v>
      </c>
    </row>
    <row r="1066" spans="1:7" x14ac:dyDescent="0.3">
      <c r="A1066" s="1">
        <v>58699</v>
      </c>
      <c r="B1066" t="str">
        <f>VLOOKUP(A1066,Datos!$A$2:$H$1084,3,FALSE)</f>
        <v>50.02</v>
      </c>
      <c r="C1066" t="str">
        <f>VLOOKUP(A1066,Datos!$A$2:$H$1084,4,FALSE)</f>
        <v>0.01</v>
      </c>
      <c r="D1066" t="str">
        <f>VLOOKUP(A1066,Datos!$A$2:$H$1084,5,FALSE)</f>
        <v>0.37</v>
      </c>
      <c r="E1066" t="str">
        <f>VLOOKUP(A1066,Datos!$A$2:$H$1084,6,FALSE)</f>
        <v>3.35</v>
      </c>
      <c r="F1066" t="str">
        <f>VLOOKUP(A1066,Datos!$A$2:$H$1084,7,FALSE)</f>
        <v>0.01</v>
      </c>
      <c r="G1066" t="str">
        <f>VLOOKUP(A1066,Datos!$A$2:$H$1084,8,FALSE)</f>
        <v>0.03</v>
      </c>
    </row>
    <row r="1067" spans="1:7" x14ac:dyDescent="0.3">
      <c r="A1067" s="1">
        <v>59788</v>
      </c>
      <c r="B1067" t="str">
        <f>VLOOKUP(A1067,Datos!$A$2:$H$1084,3,FALSE)</f>
        <v>29.86</v>
      </c>
      <c r="C1067" t="str">
        <f>VLOOKUP(A1067,Datos!$A$2:$H$1084,4,FALSE)</f>
        <v>0.00</v>
      </c>
      <c r="D1067" t="str">
        <f>VLOOKUP(A1067,Datos!$A$2:$H$1084,5,FALSE)</f>
        <v>0.08</v>
      </c>
      <c r="E1067" t="str">
        <f>VLOOKUP(A1067,Datos!$A$2:$H$1084,6,FALSE)</f>
        <v>24.40</v>
      </c>
      <c r="F1067" t="str">
        <f>VLOOKUP(A1067,Datos!$A$2:$H$1084,7,FALSE)</f>
        <v>0.00</v>
      </c>
      <c r="G1067" t="str">
        <f>VLOOKUP(A1067,Datos!$A$2:$H$1084,8,FALSE)</f>
        <v>0.01</v>
      </c>
    </row>
    <row r="1068" spans="1:7" x14ac:dyDescent="0.3">
      <c r="A1068" s="1">
        <v>558461</v>
      </c>
      <c r="B1068" t="str">
        <f>VLOOKUP(A1068,Datos!$A$2:$H$1084,3,FALSE)</f>
        <v>52.48</v>
      </c>
      <c r="C1068" t="str">
        <f>VLOOKUP(A1068,Datos!$A$2:$H$1084,4,FALSE)</f>
        <v>0.00</v>
      </c>
      <c r="D1068" t="str">
        <f>VLOOKUP(A1068,Datos!$A$2:$H$1084,5,FALSE)</f>
        <v>6.06</v>
      </c>
      <c r="E1068" t="str">
        <f>VLOOKUP(A1068,Datos!$A$2:$H$1084,6,FALSE)</f>
        <v>16.55</v>
      </c>
      <c r="F1068" t="str">
        <f>VLOOKUP(A1068,Datos!$A$2:$H$1084,7,FALSE)</f>
        <v>0.00</v>
      </c>
      <c r="G1068" t="str">
        <f>VLOOKUP(A1068,Datos!$A$2:$H$1084,8,FALSE)</f>
        <v>0.81</v>
      </c>
    </row>
    <row r="1069" spans="1:7" x14ac:dyDescent="0.3">
      <c r="A1069" s="1">
        <v>441386</v>
      </c>
      <c r="B1069" t="str">
        <f>VLOOKUP(A1069,Datos!$A$2:$H$1084,3,FALSE)</f>
        <v>35.66</v>
      </c>
      <c r="C1069" t="str">
        <f>VLOOKUP(A1069,Datos!$A$2:$H$1084,4,FALSE)</f>
        <v>0.00</v>
      </c>
      <c r="D1069" t="str">
        <f>VLOOKUP(A1069,Datos!$A$2:$H$1084,5,FALSE)</f>
        <v>0.76</v>
      </c>
      <c r="E1069" t="str">
        <f>VLOOKUP(A1069,Datos!$A$2:$H$1084,6,FALSE)</f>
        <v>28.90</v>
      </c>
      <c r="F1069" t="str">
        <f>VLOOKUP(A1069,Datos!$A$2:$H$1084,7,FALSE)</f>
        <v>0.00</v>
      </c>
      <c r="G1069" t="str">
        <f>VLOOKUP(A1069,Datos!$A$2:$H$1084,8,FALSE)</f>
        <v>0.19</v>
      </c>
    </row>
    <row r="1070" spans="1:7" x14ac:dyDescent="0.3">
      <c r="A1070" s="1">
        <v>463991</v>
      </c>
      <c r="B1070" t="str">
        <f>VLOOKUP(A1070,Datos!$A$2:$H$1084,3,FALSE)</f>
        <v>54.67</v>
      </c>
      <c r="C1070" t="str">
        <f>VLOOKUP(A1070,Datos!$A$2:$H$1084,4,FALSE)</f>
        <v>0.00</v>
      </c>
      <c r="D1070" t="str">
        <f>VLOOKUP(A1070,Datos!$A$2:$H$1084,5,FALSE)</f>
        <v>0.48</v>
      </c>
      <c r="E1070" t="str">
        <f>VLOOKUP(A1070,Datos!$A$2:$H$1084,6,FALSE)</f>
        <v>5.67</v>
      </c>
      <c r="F1070" t="str">
        <f>VLOOKUP(A1070,Datos!$A$2:$H$1084,7,FALSE)</f>
        <v>0.00</v>
      </c>
      <c r="G1070" t="str">
        <f>VLOOKUP(A1070,Datos!$A$2:$H$1084,8,FALSE)</f>
        <v>0.04</v>
      </c>
    </row>
    <row r="1071" spans="1:7" x14ac:dyDescent="0.3">
      <c r="A1071" s="1">
        <v>463463</v>
      </c>
      <c r="B1071" t="str">
        <f>VLOOKUP(A1071,Datos!$A$2:$H$1084,3,FALSE)</f>
        <v>54.28</v>
      </c>
      <c r="C1071" t="str">
        <f>VLOOKUP(A1071,Datos!$A$2:$H$1084,4,FALSE)</f>
        <v>0.00</v>
      </c>
      <c r="D1071" t="str">
        <f>VLOOKUP(A1071,Datos!$A$2:$H$1084,5,FALSE)</f>
        <v>0.86</v>
      </c>
      <c r="E1071" t="str">
        <f>VLOOKUP(A1071,Datos!$A$2:$H$1084,6,FALSE)</f>
        <v>7.45</v>
      </c>
      <c r="F1071" t="str">
        <f>VLOOKUP(A1071,Datos!$A$2:$H$1084,7,FALSE)</f>
        <v>0.00</v>
      </c>
      <c r="G1071" t="str">
        <f>VLOOKUP(A1071,Datos!$A$2:$H$1084,8,FALSE)</f>
        <v>0.09</v>
      </c>
    </row>
    <row r="1072" spans="1:7" x14ac:dyDescent="0.3">
      <c r="A1072" s="1">
        <v>149082</v>
      </c>
      <c r="B1072" t="str">
        <f>VLOOKUP(A1072,Datos!$A$2:$H$1084,3,FALSE)</f>
        <v>47.94</v>
      </c>
      <c r="C1072" t="str">
        <f>VLOOKUP(A1072,Datos!$A$2:$H$1084,4,FALSE)</f>
        <v>0.01</v>
      </c>
      <c r="D1072" t="str">
        <f>VLOOKUP(A1072,Datos!$A$2:$H$1084,5,FALSE)</f>
        <v>4.36</v>
      </c>
      <c r="E1072" t="str">
        <f>VLOOKUP(A1072,Datos!$A$2:$H$1084,6,FALSE)</f>
        <v>45.47</v>
      </c>
      <c r="F1072" t="str">
        <f>VLOOKUP(A1072,Datos!$A$2:$H$1084,7,FALSE)</f>
        <v>0.01</v>
      </c>
      <c r="G1072" t="str">
        <f>VLOOKUP(A1072,Datos!$A$2:$H$1084,8,FALSE)</f>
        <v>0.60</v>
      </c>
    </row>
    <row r="1073" spans="1:7" x14ac:dyDescent="0.3">
      <c r="A1073" s="1">
        <v>156812</v>
      </c>
      <c r="B1073" t="str">
        <f>VLOOKUP(A1073,Datos!$A$2:$H$1084,3,FALSE)</f>
        <v>59.54</v>
      </c>
      <c r="C1073" t="str">
        <f>VLOOKUP(A1073,Datos!$A$2:$H$1084,4,FALSE)</f>
        <v>0.00</v>
      </c>
      <c r="D1073" t="str">
        <f>VLOOKUP(A1073,Datos!$A$2:$H$1084,5,FALSE)</f>
        <v>0.48</v>
      </c>
      <c r="E1073" t="str">
        <f>VLOOKUP(A1073,Datos!$A$2:$H$1084,6,FALSE)</f>
        <v>14.24</v>
      </c>
      <c r="F1073" t="str">
        <f>VLOOKUP(A1073,Datos!$A$2:$H$1084,7,FALSE)</f>
        <v>0.00</v>
      </c>
      <c r="G1073" t="str">
        <f>VLOOKUP(A1073,Datos!$A$2:$H$1084,8,FALSE)</f>
        <v>0.04</v>
      </c>
    </row>
    <row r="1074" spans="1:7" x14ac:dyDescent="0.3">
      <c r="A1074" s="1">
        <v>62842</v>
      </c>
      <c r="B1074" t="str">
        <f>VLOOKUP(A1074,Datos!$A$2:$H$1084,3,FALSE)</f>
        <v>96.96</v>
      </c>
      <c r="C1074" t="str">
        <f>VLOOKUP(A1074,Datos!$A$2:$H$1084,4,FALSE)</f>
        <v>0.00</v>
      </c>
      <c r="D1074" t="str">
        <f>VLOOKUP(A1074,Datos!$A$2:$H$1084,5,FALSE)</f>
        <v>0.60</v>
      </c>
      <c r="E1074" t="str">
        <f>VLOOKUP(A1074,Datos!$A$2:$H$1084,6,FALSE)</f>
        <v>38.57</v>
      </c>
      <c r="F1074" t="str">
        <f>VLOOKUP(A1074,Datos!$A$2:$H$1084,7,FALSE)</f>
        <v>0.00</v>
      </c>
      <c r="G1074" t="str">
        <f>VLOOKUP(A1074,Datos!$A$2:$H$1084,8,FALSE)</f>
        <v>0.04</v>
      </c>
    </row>
    <row r="1075" spans="1:7" x14ac:dyDescent="0.3">
      <c r="A1075" s="1">
        <v>446812</v>
      </c>
      <c r="B1075" t="str">
        <f>VLOOKUP(A1075,Datos!$A$2:$H$1084,3,FALSE)</f>
        <v>51.13</v>
      </c>
      <c r="C1075" t="str">
        <f>VLOOKUP(A1075,Datos!$A$2:$H$1084,4,FALSE)</f>
        <v>0.01</v>
      </c>
      <c r="D1075" t="str">
        <f>VLOOKUP(A1075,Datos!$A$2:$H$1084,5,FALSE)</f>
        <v>3.89</v>
      </c>
      <c r="E1075" t="str">
        <f>VLOOKUP(A1075,Datos!$A$2:$H$1084,6,FALSE)</f>
        <v>3.04</v>
      </c>
      <c r="F1075" t="str">
        <f>VLOOKUP(A1075,Datos!$A$2:$H$1084,7,FALSE)</f>
        <v>0.01</v>
      </c>
      <c r="G1075" t="str">
        <f>VLOOKUP(A1075,Datos!$A$2:$H$1084,8,FALSE)</f>
        <v>0.29</v>
      </c>
    </row>
    <row r="1076" spans="1:7" x14ac:dyDescent="0.3">
      <c r="A1076" s="1">
        <v>64105</v>
      </c>
      <c r="B1076" t="str">
        <f>VLOOKUP(A1076,Datos!$A$2:$H$1084,3,FALSE)</f>
        <v>92.18</v>
      </c>
      <c r="C1076" t="str">
        <f>VLOOKUP(A1076,Datos!$A$2:$H$1084,4,FALSE)</f>
        <v>0.01</v>
      </c>
      <c r="D1076" t="str">
        <f>VLOOKUP(A1076,Datos!$A$2:$H$1084,5,FALSE)</f>
        <v>1.06</v>
      </c>
      <c r="E1076" t="str">
        <f>VLOOKUP(A1076,Datos!$A$2:$H$1084,6,FALSE)</f>
        <v>24.28</v>
      </c>
      <c r="F1076" t="str">
        <f>VLOOKUP(A1076,Datos!$A$2:$H$1084,7,FALSE)</f>
        <v>0.01</v>
      </c>
      <c r="G1076" t="str">
        <f>VLOOKUP(A1076,Datos!$A$2:$H$1084,8,FALSE)</f>
        <v>0.12</v>
      </c>
    </row>
    <row r="1077" spans="1:7" x14ac:dyDescent="0.3">
      <c r="A1077" s="1">
        <v>460756</v>
      </c>
      <c r="B1077" t="str">
        <f>VLOOKUP(A1077,Datos!$A$2:$H$1084,3,FALSE)</f>
        <v>60.70</v>
      </c>
      <c r="C1077" t="str">
        <f>VLOOKUP(A1077,Datos!$A$2:$H$1084,4,FALSE)</f>
        <v>0.00</v>
      </c>
      <c r="D1077" t="str">
        <f>VLOOKUP(A1077,Datos!$A$2:$H$1084,5,FALSE)</f>
        <v>2.67</v>
      </c>
      <c r="E1077" t="str">
        <f>VLOOKUP(A1077,Datos!$A$2:$H$1084,6,FALSE)</f>
        <v>8.23</v>
      </c>
      <c r="F1077" t="str">
        <f>VLOOKUP(A1077,Datos!$A$2:$H$1084,7,FALSE)</f>
        <v>0.00</v>
      </c>
      <c r="G1077" t="str">
        <f>VLOOKUP(A1077,Datos!$A$2:$H$1084,8,FALSE)</f>
        <v>0.23</v>
      </c>
    </row>
    <row r="1078" spans="1:7" x14ac:dyDescent="0.3">
      <c r="A1078" s="1">
        <v>486389</v>
      </c>
      <c r="B1078" t="str">
        <f>VLOOKUP(A1078,Datos!$A$2:$H$1084,3,FALSE)</f>
        <v>34.06</v>
      </c>
      <c r="C1078" t="str">
        <f>VLOOKUP(A1078,Datos!$A$2:$H$1084,4,FALSE)</f>
        <v>0.00</v>
      </c>
      <c r="D1078" t="str">
        <f>VLOOKUP(A1078,Datos!$A$2:$H$1084,5,FALSE)</f>
        <v>0.36</v>
      </c>
      <c r="E1078" t="str">
        <f>VLOOKUP(A1078,Datos!$A$2:$H$1084,6,FALSE)</f>
        <v>5.65</v>
      </c>
      <c r="F1078" t="str">
        <f>VLOOKUP(A1078,Datos!$A$2:$H$1084,7,FALSE)</f>
        <v>0.00</v>
      </c>
      <c r="G1078" t="str">
        <f>VLOOKUP(A1078,Datos!$A$2:$H$1084,8,FALSE)</f>
        <v>0.03</v>
      </c>
    </row>
    <row r="1079" spans="1:7" x14ac:dyDescent="0.3">
      <c r="A1079" s="1">
        <v>70470</v>
      </c>
      <c r="B1079" t="str">
        <f>VLOOKUP(A1079,Datos!$A$2:$H$1084,3,FALSE)</f>
        <v>54.32</v>
      </c>
      <c r="C1079" t="str">
        <f>VLOOKUP(A1079,Datos!$A$2:$H$1084,4,FALSE)</f>
        <v>0.00</v>
      </c>
      <c r="D1079" t="str">
        <f>VLOOKUP(A1079,Datos!$A$2:$H$1084,5,FALSE)</f>
        <v>0.59</v>
      </c>
      <c r="E1079" t="str">
        <f>VLOOKUP(A1079,Datos!$A$2:$H$1084,6,FALSE)</f>
        <v>5.83</v>
      </c>
      <c r="F1079" t="str">
        <f>VLOOKUP(A1079,Datos!$A$2:$H$1084,7,FALSE)</f>
        <v>0.00</v>
      </c>
      <c r="G1079" t="str">
        <f>VLOOKUP(A1079,Datos!$A$2:$H$1084,8,FALSE)</f>
        <v>0.06</v>
      </c>
    </row>
    <row r="1080" spans="1:7" x14ac:dyDescent="0.3">
      <c r="A1080" s="1">
        <v>459324</v>
      </c>
      <c r="B1080" t="str">
        <f>VLOOKUP(A1080,Datos!$A$2:$H$1084,3,FALSE)</f>
        <v>105.83</v>
      </c>
      <c r="C1080" t="str">
        <f>VLOOKUP(A1080,Datos!$A$2:$H$1084,4,FALSE)</f>
        <v>0.00</v>
      </c>
      <c r="D1080" t="str">
        <f>VLOOKUP(A1080,Datos!$A$2:$H$1084,5,FALSE)</f>
        <v>5.46</v>
      </c>
      <c r="E1080" t="str">
        <f>VLOOKUP(A1080,Datos!$A$2:$H$1084,6,FALSE)</f>
        <v>16.23</v>
      </c>
      <c r="F1080" t="str">
        <f>VLOOKUP(A1080,Datos!$A$2:$H$1084,7,FALSE)</f>
        <v>0.00</v>
      </c>
      <c r="G1080" t="str">
        <f>VLOOKUP(A1080,Datos!$A$2:$H$1084,8,FALSE)</f>
        <v>0.36</v>
      </c>
    </row>
    <row r="1081" spans="1:7" x14ac:dyDescent="0.3">
      <c r="A1081" s="1">
        <v>150358</v>
      </c>
      <c r="B1081" t="str">
        <f>VLOOKUP(A1081,Datos!$A$2:$H$1084,3,FALSE)</f>
        <v>87.52</v>
      </c>
      <c r="C1081" t="str">
        <f>VLOOKUP(A1081,Datos!$A$2:$H$1084,4,FALSE)</f>
        <v>0.00</v>
      </c>
      <c r="D1081" t="str">
        <f>VLOOKUP(A1081,Datos!$A$2:$H$1084,5,FALSE)</f>
        <v>0.80</v>
      </c>
      <c r="E1081" t="str">
        <f>VLOOKUP(A1081,Datos!$A$2:$H$1084,6,FALSE)</f>
        <v>12.12</v>
      </c>
      <c r="F1081" t="str">
        <f>VLOOKUP(A1081,Datos!$A$2:$H$1084,7,FALSE)</f>
        <v>0.00</v>
      </c>
      <c r="G1081" t="str">
        <f>VLOOKUP(A1081,Datos!$A$2:$H$1084,8,FALSE)</f>
        <v>0.06</v>
      </c>
    </row>
    <row r="1082" spans="1:7" x14ac:dyDescent="0.3">
      <c r="A1082" s="1">
        <v>65341</v>
      </c>
      <c r="B1082" t="str">
        <f>VLOOKUP(A1082,Datos!$A$2:$H$1084,3,FALSE)</f>
        <v>97.13</v>
      </c>
      <c r="C1082" t="str">
        <f>VLOOKUP(A1082,Datos!$A$2:$H$1084,4,FALSE)</f>
        <v>0.00</v>
      </c>
      <c r="D1082" t="str">
        <f>VLOOKUP(A1082,Datos!$A$2:$H$1084,5,FALSE)</f>
        <v>2.29</v>
      </c>
      <c r="E1082" t="str">
        <f>VLOOKUP(A1082,Datos!$A$2:$H$1084,6,FALSE)</f>
        <v>8.89</v>
      </c>
      <c r="F1082" t="str">
        <f>VLOOKUP(A1082,Datos!$A$2:$H$1084,7,FALSE)</f>
        <v>0.00</v>
      </c>
      <c r="G1082" t="str">
        <f>VLOOKUP(A1082,Datos!$A$2:$H$1084,8,FALSE)</f>
        <v>0.14</v>
      </c>
    </row>
    <row r="1083" spans="1:7" x14ac:dyDescent="0.3">
      <c r="A1083" s="2">
        <v>350908</v>
      </c>
      <c r="B1083" t="str">
        <f>VLOOKUP(A1083,Datos!$A$2:$H$1084,3,FALSE)</f>
        <v>42.02</v>
      </c>
      <c r="C1083" t="str">
        <f>VLOOKUP(A1083,Datos!$A$2:$H$1084,4,FALSE)</f>
        <v>0.01</v>
      </c>
      <c r="D1083" t="str">
        <f>VLOOKUP(A1083,Datos!$A$2:$H$1084,5,FALSE)</f>
        <v>0.20</v>
      </c>
      <c r="E1083" t="str">
        <f>VLOOKUP(A1083,Datos!$A$2:$H$1084,6,FALSE)</f>
        <v>19.90</v>
      </c>
      <c r="F1083" t="str">
        <f>VLOOKUP(A1083,Datos!$A$2:$H$1084,7,FALSE)</f>
        <v>0.01</v>
      </c>
      <c r="G1083" t="str">
        <f>VLOOKUP(A1083,Datos!$A$2:$H$1084,8,FALSE)</f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uit_bit003 Minedu</cp:lastModifiedBy>
  <dcterms:created xsi:type="dcterms:W3CDTF">2025-12-23T13:33:48Z</dcterms:created>
  <dcterms:modified xsi:type="dcterms:W3CDTF">2025-12-23T15:58:17Z</dcterms:modified>
</cp:coreProperties>
</file>